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a3b2d023d0b90a2/Dokumentumok/GitHub/rokonszavak/"/>
    </mc:Choice>
  </mc:AlternateContent>
  <xr:revisionPtr revIDLastSave="17" documentId="11_617B8BF54E3F1F4C938C654B48FC16D0DED99212" xr6:coauthVersionLast="47" xr6:coauthVersionMax="47" xr10:uidLastSave="{200AA2A0-3BEE-411B-A3A5-FA5DCCE699CD}"/>
  <bookViews>
    <workbookView xWindow="-108" yWindow="-108" windowWidth="23256" windowHeight="12456" tabRatio="500" activeTab="1" xr2:uid="{00000000-000D-0000-FFFF-FFFF00000000}"/>
  </bookViews>
  <sheets>
    <sheet name="Útmutató" sheetId="1" r:id="rId1"/>
    <sheet name="Feladványok" sheetId="2" r:id="rId2"/>
    <sheet name="Segéd" sheetId="3" state="hidden" r:id="rId3"/>
    <sheet name="Játék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4" l="1"/>
  <c r="F26" i="4"/>
  <c r="E26" i="4"/>
  <c r="D26" i="4"/>
  <c r="C26" i="4"/>
  <c r="B26" i="4"/>
  <c r="G25" i="4"/>
  <c r="F25" i="4"/>
  <c r="E25" i="4"/>
  <c r="D25" i="4"/>
  <c r="C25" i="4"/>
  <c r="B25" i="4"/>
  <c r="G24" i="4"/>
  <c r="F24" i="4"/>
  <c r="E24" i="4"/>
  <c r="D24" i="4"/>
  <c r="C24" i="4"/>
  <c r="B24" i="4"/>
  <c r="G23" i="4"/>
  <c r="F23" i="4"/>
  <c r="E23" i="4"/>
  <c r="D23" i="4"/>
  <c r="C23" i="4"/>
  <c r="B23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A6" i="4"/>
  <c r="C2" i="4"/>
</calcChain>
</file>

<file path=xl/sharedStrings.xml><?xml version="1.0" encoding="utf-8"?>
<sst xmlns="http://schemas.openxmlformats.org/spreadsheetml/2006/main" count="1804" uniqueCount="805">
  <si>
    <t>Rokonszavak – feladványbank és gyakorlólap</t>
  </si>
  <si>
    <t>Feladványok lap – ide írod az adatokat. Minden sor egy csoport, minden feladvány 4 sor (szint 1–4).</t>
  </si>
  <si>
    <t>Játék lap – itt tudod magad megfejteni. Csak a sárga cellát állítod (B2), a többi képlet.</t>
  </si>
  <si>
    <t>Segéd lap – rejtett, a keverést tárolja. Ne szerkeszd.</t>
  </si>
  <si>
    <t>Új feladvány felvétele: írj 4 új sort a Feladványok lap aljára, azonos feladvany_id-vel és kezdes dátummal, szint 1-től 4-ig.</t>
  </si>
  <si>
    <t>Szabályok: 16 egyedi szó feladványonként, szint 1 a legkönnyebb, szint 4 a legnehezebb.</t>
  </si>
  <si>
    <t>Szóhossz: 9 karakterig biztosan elfér egy sorban. 10–12 karakter csak kétsoros dobozzal, feladványonként legfeljebb egy ilyen szó.</t>
  </si>
  <si>
    <t>NINCS kakukktojás: egy szó sem illhet két csoportba ugyanabban a feladványban. A nehézséget a kategória adja, nem a kétértelműség.</t>
  </si>
  <si>
    <t>A megjegyzes oszlop a játékosnak szól. Az ellenorzes oszlop csak neked – ez sosem kerül ki a weboldalra.</t>
  </si>
  <si>
    <t>feladvany_id</t>
  </si>
  <si>
    <t>kezdes</t>
  </si>
  <si>
    <t>szint</t>
  </si>
  <si>
    <t>kategoria</t>
  </si>
  <si>
    <t>megjegyzes</t>
  </si>
  <si>
    <t>szo1</t>
  </si>
  <si>
    <t>szo2</t>
  </si>
  <si>
    <t>szo3</t>
  </si>
  <si>
    <t>szo4</t>
  </si>
  <si>
    <t>ellenorzes_regi</t>
  </si>
  <si>
    <t>ellenorzes</t>
  </si>
  <si>
    <t>rsz-002</t>
  </si>
  <si>
    <t>2026-09-24</t>
  </si>
  <si>
    <t>Magyar levesek</t>
  </si>
  <si>
    <t>Palóc</t>
  </si>
  <si>
    <t>Jókai</t>
  </si>
  <si>
    <t>Újházi</t>
  </si>
  <si>
    <t>Gulyás</t>
  </si>
  <si>
    <t>Budapesti hidak</t>
  </si>
  <si>
    <t>Lánc</t>
  </si>
  <si>
    <t>Erzsébet</t>
  </si>
  <si>
    <t>Margit</t>
  </si>
  <si>
    <t>Szabadság</t>
  </si>
  <si>
    <t>Foglalkozás és gyakori vezetéknév</t>
  </si>
  <si>
    <t>Kovács</t>
  </si>
  <si>
    <t>Szabó</t>
  </si>
  <si>
    <t>Molnár</t>
  </si>
  <si>
    <t>Halász</t>
  </si>
  <si>
    <t>Gulyás (foglalkozás és vezetéknév is)</t>
  </si>
  <si>
    <t>Amit le lehet tenni</t>
  </si>
  <si>
    <t>Vizsga</t>
  </si>
  <si>
    <t>Eskü</t>
  </si>
  <si>
    <t>Fegyver</t>
  </si>
  <si>
    <t>Lant</t>
  </si>
  <si>
    <t>rsz-003</t>
  </si>
  <si>
    <t>2026-09-25</t>
  </si>
  <si>
    <t>Csillagjegyek</t>
  </si>
  <si>
    <t>Rák</t>
  </si>
  <si>
    <t>Kos</t>
  </si>
  <si>
    <t>Bika</t>
  </si>
  <si>
    <t>Ikrek</t>
  </si>
  <si>
    <t>Magyar kutyafajták</t>
  </si>
  <si>
    <t>Puli</t>
  </si>
  <si>
    <t>Vizsla</t>
  </si>
  <si>
    <t>Kuvasz</t>
  </si>
  <si>
    <t>Pumi</t>
  </si>
  <si>
    <t>Aminek nyelve van</t>
  </si>
  <si>
    <t>Cipő</t>
  </si>
  <si>
    <t>Harang</t>
  </si>
  <si>
    <t>Öv</t>
  </si>
  <si>
    <t>Mérleg</t>
  </si>
  <si>
    <t>Mérleg (csillagjegy is)</t>
  </si>
  <si>
    <t>Egy betű cseréjével vármegye</t>
  </si>
  <si>
    <t>Fejér, Békés, Pest, Tolna</t>
  </si>
  <si>
    <t>Fehér</t>
  </si>
  <si>
    <t>Bélés</t>
  </si>
  <si>
    <t>Rest</t>
  </si>
  <si>
    <t>Volna</t>
  </si>
  <si>
    <t>rsz-004</t>
  </si>
  <si>
    <t>2026-09-26</t>
  </si>
  <si>
    <t>Magyar kártya színei</t>
  </si>
  <si>
    <t>Makk</t>
  </si>
  <si>
    <t>Tök</t>
  </si>
  <si>
    <t>Zöld</t>
  </si>
  <si>
    <t>Piros</t>
  </si>
  <si>
    <t>Pálinkafajták</t>
  </si>
  <si>
    <t>Barack</t>
  </si>
  <si>
    <t>Szilva</t>
  </si>
  <si>
    <t>Törköly</t>
  </si>
  <si>
    <t>Kökény</t>
  </si>
  <si>
    <t>Ételnév, ami személynévből jön</t>
  </si>
  <si>
    <t>Dobos C. József, Rigó Jancsi, Esterházy Pál, Gerbeaud Emil</t>
  </si>
  <si>
    <t>Dobos</t>
  </si>
  <si>
    <t>Rigó</t>
  </si>
  <si>
    <t>Esterházy</t>
  </si>
  <si>
    <t>Zserbó</t>
  </si>
  <si>
    <t>Amit el lehet sütni</t>
  </si>
  <si>
    <t>Poén</t>
  </si>
  <si>
    <t>Puska</t>
  </si>
  <si>
    <t>Vicc</t>
  </si>
  <si>
    <t>Ágyú</t>
  </si>
  <si>
    <t>rsz-005</t>
  </si>
  <si>
    <t>2026-09-27</t>
  </si>
  <si>
    <t>Magyar rajzfilmfigurák</t>
  </si>
  <si>
    <t>Vuk</t>
  </si>
  <si>
    <t>Süsü</t>
  </si>
  <si>
    <t>Frakk</t>
  </si>
  <si>
    <t>Kukori</t>
  </si>
  <si>
    <t>___ + ÓRA</t>
  </si>
  <si>
    <t>Nap</t>
  </si>
  <si>
    <t>Homok</t>
  </si>
  <si>
    <t>Inga</t>
  </si>
  <si>
    <t>Torony</t>
  </si>
  <si>
    <t>Keresztnévvel kezdődik</t>
  </si>
  <si>
    <t>Kata, Lili, Andor, Ferenc</t>
  </si>
  <si>
    <t>Katapult</t>
  </si>
  <si>
    <t>Liliom</t>
  </si>
  <si>
    <t>Andorra</t>
  </si>
  <si>
    <t>Ferences</t>
  </si>
  <si>
    <t>Visszafelé olvasva is magyar szó</t>
  </si>
  <si>
    <t>rak, pék, tál, rét</t>
  </si>
  <si>
    <t>Kar</t>
  </si>
  <si>
    <t>Kép</t>
  </si>
  <si>
    <t>Lát</t>
  </si>
  <si>
    <t>Tér</t>
  </si>
  <si>
    <t>Kar (karóra)</t>
  </si>
  <si>
    <t>rsz-006</t>
  </si>
  <si>
    <t>2026-09-28</t>
  </si>
  <si>
    <t>Sakkfigurák</t>
  </si>
  <si>
    <t>Bástya</t>
  </si>
  <si>
    <t>Futó</t>
  </si>
  <si>
    <t>Huszár</t>
  </si>
  <si>
    <t>Vezér</t>
  </si>
  <si>
    <t>Magyar folyók</t>
  </si>
  <si>
    <t>Tisza</t>
  </si>
  <si>
    <t>Dráva</t>
  </si>
  <si>
    <t>Rába</t>
  </si>
  <si>
    <t>Sajó</t>
  </si>
  <si>
    <t>Amit fel lehet venni</t>
  </si>
  <si>
    <t>Telefon</t>
  </si>
  <si>
    <t>Kabát</t>
  </si>
  <si>
    <t>Kölcsön</t>
  </si>
  <si>
    <t>Verseny</t>
  </si>
  <si>
    <t>Amit meg lehet oldani</t>
  </si>
  <si>
    <t>Rejtvény</t>
  </si>
  <si>
    <t>Feladat</t>
  </si>
  <si>
    <t>Csomó</t>
  </si>
  <si>
    <t>Cipőfűző</t>
  </si>
  <si>
    <t>rsz-007</t>
  </si>
  <si>
    <t>2026-09-29</t>
  </si>
  <si>
    <t>Madarak</t>
  </si>
  <si>
    <t>Gólya</t>
  </si>
  <si>
    <t>Fecske</t>
  </si>
  <si>
    <t>Bagoly</t>
  </si>
  <si>
    <t>Pinty</t>
  </si>
  <si>
    <t>___ + KÖNYV</t>
  </si>
  <si>
    <t>Tan</t>
  </si>
  <si>
    <t>Szak</t>
  </si>
  <si>
    <t>Mese</t>
  </si>
  <si>
    <t>Zseb</t>
  </si>
  <si>
    <t>Aminek füle van</t>
  </si>
  <si>
    <t>Bögre</t>
  </si>
  <si>
    <t>Kosár</t>
  </si>
  <si>
    <t>Fazék</t>
  </si>
  <si>
    <t>Zsák</t>
  </si>
  <si>
    <t>Pénznemek, amik mást is jelentenek</t>
  </si>
  <si>
    <t>Font</t>
  </si>
  <si>
    <t>Márka</t>
  </si>
  <si>
    <t>Korona</t>
  </si>
  <si>
    <t>Frank</t>
  </si>
  <si>
    <t>rsz-008</t>
  </si>
  <si>
    <t>2026-09-30</t>
  </si>
  <si>
    <t>Gombák</t>
  </si>
  <si>
    <t>Vargánya</t>
  </si>
  <si>
    <t>Csiperke</t>
  </si>
  <si>
    <t>Galóca</t>
  </si>
  <si>
    <t>Rizike</t>
  </si>
  <si>
    <t>Balatoni települések</t>
  </si>
  <si>
    <t>Tihany</t>
  </si>
  <si>
    <t>Siófok</t>
  </si>
  <si>
    <t>Fonyód</t>
  </si>
  <si>
    <t>Keszthely</t>
  </si>
  <si>
    <t>Amit el lehet kapni</t>
  </si>
  <si>
    <t>Labda</t>
  </si>
  <si>
    <t>Nátha</t>
  </si>
  <si>
    <t>Fonál</t>
  </si>
  <si>
    <t>Tolvaj</t>
  </si>
  <si>
    <t>Magyar városok anagrammái</t>
  </si>
  <si>
    <t>Eger, Gyula, Makó, Szeged</t>
  </si>
  <si>
    <t>Rege</t>
  </si>
  <si>
    <t>Gulya</t>
  </si>
  <si>
    <t>Kóma</t>
  </si>
  <si>
    <t>Degesz</t>
  </si>
  <si>
    <t>rsz-009</t>
  </si>
  <si>
    <t>2026-10-01</t>
  </si>
  <si>
    <t>Fűszerek</t>
  </si>
  <si>
    <t>Kapor</t>
  </si>
  <si>
    <t>Bors</t>
  </si>
  <si>
    <t>Kömény</t>
  </si>
  <si>
    <t>Babér</t>
  </si>
  <si>
    <t>SZÉL + ___</t>
  </si>
  <si>
    <t>Csend</t>
  </si>
  <si>
    <t>Vihar</t>
  </si>
  <si>
    <t>Kakas</t>
  </si>
  <si>
    <t>Malom</t>
  </si>
  <si>
    <t>Oda-vissza ugyanaz</t>
  </si>
  <si>
    <t>Görög</t>
  </si>
  <si>
    <t>Kerek</t>
  </si>
  <si>
    <t>Pap</t>
  </si>
  <si>
    <t>Sas</t>
  </si>
  <si>
    <t>___ + LÁB</t>
  </si>
  <si>
    <t>Szék</t>
  </si>
  <si>
    <t>Asztal</t>
  </si>
  <si>
    <t>Kamat</t>
  </si>
  <si>
    <t>rsz-010</t>
  </si>
  <si>
    <t>2026-10-02</t>
  </si>
  <si>
    <t>Magyar sajtok</t>
  </si>
  <si>
    <t>Trappista</t>
  </si>
  <si>
    <t>Pannónia</t>
  </si>
  <si>
    <t>Óvári</t>
  </si>
  <si>
    <t>Karaván</t>
  </si>
  <si>
    <t>SZEM + ___</t>
  </si>
  <si>
    <t>Üveg</t>
  </si>
  <si>
    <t>Héj</t>
  </si>
  <si>
    <t>Golyó</t>
  </si>
  <si>
    <t>Tanú</t>
  </si>
  <si>
    <t>Amit be lehet tartani</t>
  </si>
  <si>
    <t>Szó</t>
  </si>
  <si>
    <t>Ígéret</t>
  </si>
  <si>
    <t>Szabály</t>
  </si>
  <si>
    <t>Távolság</t>
  </si>
  <si>
    <t>Városok, amik köznevek is</t>
  </si>
  <si>
    <t>Tata</t>
  </si>
  <si>
    <t>Baja</t>
  </si>
  <si>
    <t>Gyula</t>
  </si>
  <si>
    <t>Hajós</t>
  </si>
  <si>
    <t>rsz-011</t>
  </si>
  <si>
    <t>2026-10-03</t>
  </si>
  <si>
    <t>Budapesti metrómegállók</t>
  </si>
  <si>
    <t>Astoria</t>
  </si>
  <si>
    <t>Blaha</t>
  </si>
  <si>
    <t>Opera</t>
  </si>
  <si>
    <t>Lehel</t>
  </si>
  <si>
    <t>Magyar kártyajátékok</t>
  </si>
  <si>
    <t>Ulti</t>
  </si>
  <si>
    <t>Römi</t>
  </si>
  <si>
    <t>Makaó</t>
  </si>
  <si>
    <t>Snapszer</t>
  </si>
  <si>
    <t>Amit fel lehet állítani</t>
  </si>
  <si>
    <t>Rekord</t>
  </si>
  <si>
    <t>Sátor</t>
  </si>
  <si>
    <t>Csapat</t>
  </si>
  <si>
    <t>Szobor</t>
  </si>
  <si>
    <t>Ikerszavak első tagja</t>
  </si>
  <si>
    <t>csiga-biga, tarka-barka, dimbes-dombos, ripsz-ropsz</t>
  </si>
  <si>
    <t>Csiga</t>
  </si>
  <si>
    <t>Tarka</t>
  </si>
  <si>
    <t>Dimbes</t>
  </si>
  <si>
    <t>Ripsz</t>
  </si>
  <si>
    <t>rsz-012</t>
  </si>
  <si>
    <t>2026-10-04</t>
  </si>
  <si>
    <t>Halak</t>
  </si>
  <si>
    <t>Ponty</t>
  </si>
  <si>
    <t>Harcsa</t>
  </si>
  <si>
    <t>Keszeg</t>
  </si>
  <si>
    <t>Csuka</t>
  </si>
  <si>
    <t>TŰZ + ___</t>
  </si>
  <si>
    <t>Oltó</t>
  </si>
  <si>
    <t>Fal</t>
  </si>
  <si>
    <t>Csap</t>
  </si>
  <si>
    <t>Veszély</t>
  </si>
  <si>
    <t>Aminek foga van</t>
  </si>
  <si>
    <t>Fésű</t>
  </si>
  <si>
    <t>Fűrész</t>
  </si>
  <si>
    <t>Gereblye</t>
  </si>
  <si>
    <t>Cipzár</t>
  </si>
  <si>
    <t>Főnév és ige is egyben</t>
  </si>
  <si>
    <t>Vár</t>
  </si>
  <si>
    <t>Fog</t>
  </si>
  <si>
    <t>Nyúl</t>
  </si>
  <si>
    <t>Ég</t>
  </si>
  <si>
    <t>Fog (a fogas csoport miatt)</t>
  </si>
  <si>
    <t>rsz-013</t>
  </si>
  <si>
    <t>2026-10-05</t>
  </si>
  <si>
    <t>Magyar borvidékek</t>
  </si>
  <si>
    <t>Tokaj</t>
  </si>
  <si>
    <t>Villány</t>
  </si>
  <si>
    <t>Eger</t>
  </si>
  <si>
    <t>Szekszárd</t>
  </si>
  <si>
    <t>A Pál utcai fiúk szereplői</t>
  </si>
  <si>
    <t>Nemecsek</t>
  </si>
  <si>
    <t>Boka</t>
  </si>
  <si>
    <t>Áts</t>
  </si>
  <si>
    <t>Geréb</t>
  </si>
  <si>
    <t>Boka testrész is, de nincs testrész-csoport ebben a feladványban</t>
  </si>
  <si>
    <t>Régi magyar mértékegységek</t>
  </si>
  <si>
    <t>1 hold ≈ 5755 m², 1 icce ≈ 0,8 liter</t>
  </si>
  <si>
    <t>Hold</t>
  </si>
  <si>
    <t>Öl</t>
  </si>
  <si>
    <t>Icce</t>
  </si>
  <si>
    <t>Akó</t>
  </si>
  <si>
    <t>Hold = égitest is; nincs égi csoport itt</t>
  </si>
  <si>
    <t>Hangszer rejtőzik a szó elején</t>
  </si>
  <si>
    <t>dob, síp, lant, kürt</t>
  </si>
  <si>
    <t>Dobás</t>
  </si>
  <si>
    <t>Sípálya</t>
  </si>
  <si>
    <t>Lantos</t>
  </si>
  <si>
    <t>Kürtő</t>
  </si>
  <si>
    <t>Sípálya valójában sí+pálya – ez a poén</t>
  </si>
  <si>
    <t>rsz-014</t>
  </si>
  <si>
    <t>2026-10-06</t>
  </si>
  <si>
    <t>Retró magyar édességek és üdítők</t>
  </si>
  <si>
    <t>Negro</t>
  </si>
  <si>
    <t>Bambi</t>
  </si>
  <si>
    <t>Traubi</t>
  </si>
  <si>
    <t>Boci</t>
  </si>
  <si>
    <t>Varrás közben</t>
  </si>
  <si>
    <t>Öltés</t>
  </si>
  <si>
    <t>Szegély</t>
  </si>
  <si>
    <t>Gombolyag</t>
  </si>
  <si>
    <t>Tű</t>
  </si>
  <si>
    <t>A SZÉP rokon értelmű szavai</t>
  </si>
  <si>
    <t>Csinos</t>
  </si>
  <si>
    <t>Bájos</t>
  </si>
  <si>
    <t>Takaros</t>
  </si>
  <si>
    <t>Helyes</t>
  </si>
  <si>
    <t>Helyes = „jó, rendben” is; nem fedi egyik csoportot sem</t>
  </si>
  <si>
    <t>Amit a tűz csinál</t>
  </si>
  <si>
    <t>Pattog</t>
  </si>
  <si>
    <t>Lobog</t>
  </si>
  <si>
    <t>Izzik</t>
  </si>
  <si>
    <t>Sistereg</t>
  </si>
  <si>
    <t>rsz-015</t>
  </si>
  <si>
    <t>2026-10-07</t>
  </si>
  <si>
    <t>Tejtermékek</t>
  </si>
  <si>
    <t>Túró</t>
  </si>
  <si>
    <t>Tejföl</t>
  </si>
  <si>
    <t>Vaj</t>
  </si>
  <si>
    <t>Kefir</t>
  </si>
  <si>
    <t>Magyar zenekarok</t>
  </si>
  <si>
    <t>Omega</t>
  </si>
  <si>
    <t>Illés</t>
  </si>
  <si>
    <t>Hungária</t>
  </si>
  <si>
    <t>Neoton</t>
  </si>
  <si>
    <t>Kártyázás közben</t>
  </si>
  <si>
    <t>Oszt</t>
  </si>
  <si>
    <t>Emel</t>
  </si>
  <si>
    <t>Passzol</t>
  </si>
  <si>
    <t>Üt</t>
  </si>
  <si>
    <t>Mind ige; nincs másik ige-csoport itt</t>
  </si>
  <si>
    <t>Egy betű cseréjével állat lesz belőle</t>
  </si>
  <si>
    <t>liba, sas, egér, kacsa</t>
  </si>
  <si>
    <t>Lila</t>
  </si>
  <si>
    <t>Sás</t>
  </si>
  <si>
    <t>Kassa</t>
  </si>
  <si>
    <t>Eger és Kassa város is, de nincs földrajzi csoport itt</t>
  </si>
  <si>
    <t>rsz-016</t>
  </si>
  <si>
    <t>2026-10-08</t>
  </si>
  <si>
    <t>Ami a kaszinóban van</t>
  </si>
  <si>
    <t>Rulett</t>
  </si>
  <si>
    <t>Zseton</t>
  </si>
  <si>
    <t>Krupié</t>
  </si>
  <si>
    <t>Jackpot</t>
  </si>
  <si>
    <t>A BUTA rokon értelmű szavai</t>
  </si>
  <si>
    <t>Ostoba</t>
  </si>
  <si>
    <t>Balga</t>
  </si>
  <si>
    <t>Együgyű</t>
  </si>
  <si>
    <t>Dőre</t>
  </si>
  <si>
    <t>Horgászfelszerelés</t>
  </si>
  <si>
    <t>Úszó</t>
  </si>
  <si>
    <t>Ólom</t>
  </si>
  <si>
    <t>Orsó</t>
  </si>
  <si>
    <t>Csali</t>
  </si>
  <si>
    <t>Csali = kaszinós „csalit” NEM; a csalás más szó</t>
  </si>
  <si>
    <t>Ital rejtőzik a szó elején</t>
  </si>
  <si>
    <t>bor, sör, tej, víz</t>
  </si>
  <si>
    <t>Borotva</t>
  </si>
  <si>
    <t>Sörény</t>
  </si>
  <si>
    <t>Tejút</t>
  </si>
  <si>
    <t>Vízum</t>
  </si>
  <si>
    <t>Vízum: a víz itt véletlen szóeleji egyezés – ez a poén</t>
  </si>
  <si>
    <t>rsz-017</t>
  </si>
  <si>
    <t>2026-10-09</t>
  </si>
  <si>
    <t>Mezei virágok</t>
  </si>
  <si>
    <t>Pipacs</t>
  </si>
  <si>
    <t>Nefelejcs</t>
  </si>
  <si>
    <t>Margaréta</t>
  </si>
  <si>
    <t>Kankalin</t>
  </si>
  <si>
    <t>Mai magyar márkák</t>
  </si>
  <si>
    <t>Prezi, Wizz Air, Barion, Nanushka</t>
  </si>
  <si>
    <t>Prezi</t>
  </si>
  <si>
    <t>Wizz</t>
  </si>
  <si>
    <t>Barion</t>
  </si>
  <si>
    <t>Nanushka</t>
  </si>
  <si>
    <t>Amit a víz csinál</t>
  </si>
  <si>
    <t>Csobog</t>
  </si>
  <si>
    <t>Zubog</t>
  </si>
  <si>
    <t>Csordul</t>
  </si>
  <si>
    <t>Szivárog</t>
  </si>
  <si>
    <t>Szám rejtőzik a szó elején</t>
  </si>
  <si>
    <t>öt, hat, két, száz</t>
  </si>
  <si>
    <t>Ötlet</t>
  </si>
  <si>
    <t>Hatás</t>
  </si>
  <si>
    <t>Kétely</t>
  </si>
  <si>
    <t>Százalék</t>
  </si>
  <si>
    <t>rsz-018</t>
  </si>
  <si>
    <t>2026-10-10</t>
  </si>
  <si>
    <t>Falusi ünnepek</t>
  </si>
  <si>
    <t>Farsang</t>
  </si>
  <si>
    <t>Szüret</t>
  </si>
  <si>
    <t>Búcsú</t>
  </si>
  <si>
    <t>Majális</t>
  </si>
  <si>
    <t>Sütés közben</t>
  </si>
  <si>
    <t>Dagaszt</t>
  </si>
  <si>
    <t>Kel</t>
  </si>
  <si>
    <t>Pihen</t>
  </si>
  <si>
    <t>Sül</t>
  </si>
  <si>
    <t>Mind ige; a Kel zöldség is, de nincs zöldségcsoport itt</t>
  </si>
  <si>
    <t>Mai fiatalok szavai</t>
  </si>
  <si>
    <t>Rizz</t>
  </si>
  <si>
    <t>Cringe</t>
  </si>
  <si>
    <t>Sigma</t>
  </si>
  <si>
    <t>Flex</t>
  </si>
  <si>
    <t>___ + HÁZ</t>
  </si>
  <si>
    <t>tárház, üvegház, kórház, bérház</t>
  </si>
  <si>
    <t>Tár</t>
  </si>
  <si>
    <t>Kór</t>
  </si>
  <si>
    <t>Bér</t>
  </si>
  <si>
    <t>rsz-019</t>
  </si>
  <si>
    <t>2026-10-11</t>
  </si>
  <si>
    <t>A magyar labdarúgó-válogatott tagjai</t>
  </si>
  <si>
    <t>Szoboszlai</t>
  </si>
  <si>
    <t>Dárdai</t>
  </si>
  <si>
    <t>Kerkez</t>
  </si>
  <si>
    <t>Dibusz</t>
  </si>
  <si>
    <t>ELLENŐRIZD a keretet a megjelenés előtt! Szoboszlai 10 karakter – kétsoros doboz kell</t>
  </si>
  <si>
    <t>Asztalos szerszámai</t>
  </si>
  <si>
    <t>Gyalu</t>
  </si>
  <si>
    <t>Véső</t>
  </si>
  <si>
    <t>Reszelő</t>
  </si>
  <si>
    <t>Fúró</t>
  </si>
  <si>
    <t>Állathangok</t>
  </si>
  <si>
    <t>Nyerít</t>
  </si>
  <si>
    <t>Mekeg</t>
  </si>
  <si>
    <t>Gágog</t>
  </si>
  <si>
    <t>Bőg</t>
  </si>
  <si>
    <t>Gyümölcs rejtőzik a szóban</t>
  </si>
  <si>
    <t>alma, meggy, dió, szeder</t>
  </si>
  <si>
    <t>Almanach</t>
  </si>
  <si>
    <t>Meggyőz</t>
  </si>
  <si>
    <t>Dióda</t>
  </si>
  <si>
    <t>Szederjes</t>
  </si>
  <si>
    <t>Szederjes = kékes-lilás színű</t>
  </si>
  <si>
    <t>rsz-020</t>
  </si>
  <si>
    <t>2026-10-12</t>
  </si>
  <si>
    <t>Magyar hegységek</t>
  </si>
  <si>
    <t>Mátra</t>
  </si>
  <si>
    <t>Bükk</t>
  </si>
  <si>
    <t>Mecsek</t>
  </si>
  <si>
    <t>Pilis</t>
  </si>
  <si>
    <t>Kötelező olvasmányok</t>
  </si>
  <si>
    <t>Arany, Fekete István, Szabó Magda</t>
  </si>
  <si>
    <t>Toldi</t>
  </si>
  <si>
    <t>Tüskevár</t>
  </si>
  <si>
    <t>Abigél</t>
  </si>
  <si>
    <t>Bogáncs</t>
  </si>
  <si>
    <t>A piros árnyalatai</t>
  </si>
  <si>
    <t>Bordó</t>
  </si>
  <si>
    <t>Meggy</t>
  </si>
  <si>
    <t>Skarlát</t>
  </si>
  <si>
    <t>Rőt</t>
  </si>
  <si>
    <t>Meggy gyümölcs is; nincs gyümölcscsoport itt</t>
  </si>
  <si>
    <t>A GYORS rokon értelmű szavai</t>
  </si>
  <si>
    <t>Sebes</t>
  </si>
  <si>
    <t>Fürge</t>
  </si>
  <si>
    <t>Serény</t>
  </si>
  <si>
    <t>Szapora</t>
  </si>
  <si>
    <t>Sebes = „sérült” is; egyik csoportba sem fér be máshogy</t>
  </si>
  <si>
    <t>rsz-021</t>
  </si>
  <si>
    <t>2026-10-13</t>
  </si>
  <si>
    <t>Ami a tolltartóban van</t>
  </si>
  <si>
    <t>Radír</t>
  </si>
  <si>
    <t>Vonalzó</t>
  </si>
  <si>
    <t>Hegyező</t>
  </si>
  <si>
    <t>Filctoll</t>
  </si>
  <si>
    <t>Ásványok</t>
  </si>
  <si>
    <t>Opál</t>
  </si>
  <si>
    <t>Ametiszt</t>
  </si>
  <si>
    <t>Jáspis</t>
  </si>
  <si>
    <t>Borostyán</t>
  </si>
  <si>
    <t>Borostyán növény is; nincs növénycsoport itt</t>
  </si>
  <si>
    <t>A SOK rokon értelmű szavai</t>
  </si>
  <si>
    <t>garmada = nagy halom</t>
  </si>
  <si>
    <t>Rengeteg</t>
  </si>
  <si>
    <t>Temérdek</t>
  </si>
  <si>
    <t>Számtalan</t>
  </si>
  <si>
    <t>Garmada</t>
  </si>
  <si>
    <t>Rengeteg = sűrű erdő is; nincs erdőcsoport itt</t>
  </si>
  <si>
    <t>Testrész rejtőzik a szó elején</t>
  </si>
  <si>
    <t>fül, has, kar, szem</t>
  </si>
  <si>
    <t>Fülke</t>
  </si>
  <si>
    <t>Hasáb</t>
  </si>
  <si>
    <t>Karácsony</t>
  </si>
  <si>
    <t>Szemét</t>
  </si>
  <si>
    <t>rsz-022</t>
  </si>
  <si>
    <t>2026-10-14</t>
  </si>
  <si>
    <t>Magyar várak</t>
  </si>
  <si>
    <t>Siklós</t>
  </si>
  <si>
    <t>Sümeg</t>
  </si>
  <si>
    <t>Füzér</t>
  </si>
  <si>
    <t>Diósgyőr</t>
  </si>
  <si>
    <t>Magyar feltalálók</t>
  </si>
  <si>
    <t>Rubik Ernő, Bíró László, Kandó Kálmán, Jedlik Ányos</t>
  </si>
  <si>
    <t>Rubik</t>
  </si>
  <si>
    <t>Bíró</t>
  </si>
  <si>
    <t>Kandó</t>
  </si>
  <si>
    <t>Jedlik</t>
  </si>
  <si>
    <t>Bíró foglalkozás is; nincs foglalkozáscsoport itt</t>
  </si>
  <si>
    <t>Kertészkedés közben</t>
  </si>
  <si>
    <t>Metsz</t>
  </si>
  <si>
    <t>Ültet</t>
  </si>
  <si>
    <t>Öntöz</t>
  </si>
  <si>
    <t>Gyomlál</t>
  </si>
  <si>
    <t>Egy betű cseréjével madár lesz belőle</t>
  </si>
  <si>
    <t>gólya, veréb, pinty, sas</t>
  </si>
  <si>
    <t>Gálya</t>
  </si>
  <si>
    <t>Verés</t>
  </si>
  <si>
    <t>Sós</t>
  </si>
  <si>
    <t>Ponty hal is; nincs halcsoport itt</t>
  </si>
  <si>
    <t>rsz-023</t>
  </si>
  <si>
    <t>2026-10-15</t>
  </si>
  <si>
    <t>Magyar tájegységek</t>
  </si>
  <si>
    <t>Hortobágy</t>
  </si>
  <si>
    <t>Nyírség</t>
  </si>
  <si>
    <t>Hajdúság</t>
  </si>
  <si>
    <t>Kiskunság</t>
  </si>
  <si>
    <t>Népi hangszerek</t>
  </si>
  <si>
    <t>Citera</t>
  </si>
  <si>
    <t>Tekerő</t>
  </si>
  <si>
    <t>Doromb</t>
  </si>
  <si>
    <t>Furulya</t>
  </si>
  <si>
    <t>A FÁRADT rokon értelmű szavai</t>
  </si>
  <si>
    <t>Nyúzott</t>
  </si>
  <si>
    <t>Kimerült</t>
  </si>
  <si>
    <t>Bágyadt</t>
  </si>
  <si>
    <t>Törődött</t>
  </si>
  <si>
    <t>Állat rejtőzik a szóban</t>
  </si>
  <si>
    <t>kos, sas, borz, rák</t>
  </si>
  <si>
    <t>Sasszé</t>
  </si>
  <si>
    <t>Borzaszt</t>
  </si>
  <si>
    <t>Rákattan</t>
  </si>
  <si>
    <t>Sasszé = oldalazó tánclépés</t>
  </si>
  <si>
    <t>rsz-024</t>
  </si>
  <si>
    <t>2026-10-16</t>
  </si>
  <si>
    <t>Zöldségek</t>
  </si>
  <si>
    <t>Retek</t>
  </si>
  <si>
    <t>Cékla</t>
  </si>
  <si>
    <t>Karalábé</t>
  </si>
  <si>
    <t>Padlizsán</t>
  </si>
  <si>
    <t>Ami a padláson van</t>
  </si>
  <si>
    <t>Pókháló</t>
  </si>
  <si>
    <t>Láda</t>
  </si>
  <si>
    <t>Gerenda</t>
  </si>
  <si>
    <t>Lom</t>
  </si>
  <si>
    <t>Amit a szél csinál</t>
  </si>
  <si>
    <t>Süvít</t>
  </si>
  <si>
    <t>Zúg</t>
  </si>
  <si>
    <t>Fütyül</t>
  </si>
  <si>
    <t>Tombol</t>
  </si>
  <si>
    <t>Ország rejtőzik a szóban</t>
  </si>
  <si>
    <t>Kína, Irán, India, Omán</t>
  </si>
  <si>
    <t>Kínál</t>
  </si>
  <si>
    <t>Kirándul</t>
  </si>
  <si>
    <t>Indián</t>
  </si>
  <si>
    <t>Románc</t>
  </si>
  <si>
    <t>rsz-001</t>
  </si>
  <si>
    <t>2026-12-24</t>
  </si>
  <si>
    <t>Karácsonyfára kerül</t>
  </si>
  <si>
    <t>Gömb</t>
  </si>
  <si>
    <t>Csillag</t>
  </si>
  <si>
    <t>Angyalhaj</t>
  </si>
  <si>
    <t>Égősor</t>
  </si>
  <si>
    <t>Tárgyak a Reszkessetek, betörők!-ből</t>
  </si>
  <si>
    <t>Vasaló</t>
  </si>
  <si>
    <t>Tarantula</t>
  </si>
  <si>
    <t>Légpuska</t>
  </si>
  <si>
    <t>Festék</t>
  </si>
  <si>
    <t>Hangszerek, amik mást is jelentenek</t>
  </si>
  <si>
    <t>Orgona</t>
  </si>
  <si>
    <t>Duda</t>
  </si>
  <si>
    <t>Dob</t>
  </si>
  <si>
    <t>Kürt</t>
  </si>
  <si>
    <t>Amit fel lehet törni</t>
  </si>
  <si>
    <t>Dió</t>
  </si>
  <si>
    <t>Kód</t>
  </si>
  <si>
    <t>Jég</t>
  </si>
  <si>
    <t>Széf</t>
  </si>
  <si>
    <t>Dió (karácsonyfadísz is)</t>
  </si>
  <si>
    <t>pozicio</t>
  </si>
  <si>
    <t>szo</t>
  </si>
  <si>
    <t>id_lista</t>
  </si>
  <si>
    <t>Rokonszavak – gyakorlólap</t>
  </si>
  <si>
    <t>Válassz feladványt:</t>
  </si>
  <si>
    <t>Keresd meg a négy négyes csoportot:</t>
  </si>
  <si>
    <t>MEGOLDÁS (görgess ide, ha kész vagy)</t>
  </si>
  <si>
    <t>Szint</t>
  </si>
  <si>
    <t>Kategória</t>
  </si>
  <si>
    <t>Szavak</t>
  </si>
  <si>
    <t>Megjegyzés</t>
  </si>
  <si>
    <t>rsz-025</t>
  </si>
  <si>
    <t>2026-10-17</t>
  </si>
  <si>
    <t>Magyar találmányok</t>
  </si>
  <si>
    <t>Irinyi (gyufa), Jedlik (dinamó, szódavíz), Bíró (golyóstoll)</t>
  </si>
  <si>
    <t>Gyufa</t>
  </si>
  <si>
    <t>Dinamó</t>
  </si>
  <si>
    <t>Szódavíz</t>
  </si>
  <si>
    <t>Golyóstoll</t>
  </si>
  <si>
    <t>Belépő csoport. Golyóstoll 10 karakter - kétsoros doboz, és ez az egyetlen hosszú szó itt.</t>
  </si>
  <si>
    <t>Fizikai mennyiségek</t>
  </si>
  <si>
    <t>Munka</t>
  </si>
  <si>
    <t>Erő</t>
  </si>
  <si>
    <t>Nyomás</t>
  </si>
  <si>
    <t>Energia</t>
  </si>
  <si>
    <t>Egyik sem mértékegység - csak ez választja el a 3. csoporttól. Szándékos ütközés.</t>
  </si>
  <si>
    <t>Mértékegységek</t>
  </si>
  <si>
    <t>1 láb = 30,48 cm; 1 karát = 0,2 gramm</t>
  </si>
  <si>
    <t>Láb</t>
  </si>
  <si>
    <t>Volt</t>
  </si>
  <si>
    <t>Karát</t>
  </si>
  <si>
    <t>Év</t>
  </si>
  <si>
    <t>Láb testrész is, de nincs testrész-csoport itt. Volt = a "van" múlt ideje.</t>
  </si>
  <si>
    <t>Nyelvtani fogalmak</t>
  </si>
  <si>
    <t>Eset</t>
  </si>
  <si>
    <t>Mód</t>
  </si>
  <si>
    <t>Szám</t>
  </si>
  <si>
    <t>Személy</t>
  </si>
  <si>
    <t>Mind a négy ragozási kategória. A Szám matematikainak tűnik, de nincs matek-csoport itt.</t>
  </si>
  <si>
    <t>rsz-026</t>
  </si>
  <si>
    <t>2026-10-18</t>
  </si>
  <si>
    <t>Testrészek</t>
  </si>
  <si>
    <t>Írisz</t>
  </si>
  <si>
    <t>Lép</t>
  </si>
  <si>
    <t>Hörgő</t>
  </si>
  <si>
    <t>Ér</t>
  </si>
  <si>
    <t>FIGYELEM: a szept. 21-i "1" feladványban is volt Testrészek csoport (könyök, boka, térd, tarkó) - más szavakkal. Lép és Ér ige is.</t>
  </si>
  <si>
    <t>Szavak az Anyám tyúkjából</t>
  </si>
  <si>
    <t>Petőfi Sándor verse</t>
  </si>
  <si>
    <t>Morzsa</t>
  </si>
  <si>
    <t>Szoba</t>
  </si>
  <si>
    <t>Galamb</t>
  </si>
  <si>
    <t>Kő</t>
  </si>
  <si>
    <t>Mind a négy szó szó szerint szerepel a versben (ellenőrizve a kritikai kiadás szövegén). Morzsa a kutya neve.</t>
  </si>
  <si>
    <t>Kottajelek</t>
  </si>
  <si>
    <t>A kereszt félhanggal feljebb emel</t>
  </si>
  <si>
    <t>Kulcs</t>
  </si>
  <si>
    <t>Szünet</t>
  </si>
  <si>
    <t>Kereszt</t>
  </si>
  <si>
    <t>Ütem</t>
  </si>
  <si>
    <t>Mind valódi kottaelem; egyik sem matematikai fogalom.</t>
  </si>
  <si>
    <t>Matematikai fogalmak</t>
  </si>
  <si>
    <t>Tört</t>
  </si>
  <si>
    <t>Gyök</t>
  </si>
  <si>
    <t>Szög</t>
  </si>
  <si>
    <t>Sor</t>
  </si>
  <si>
    <t>Tört ige is, Szög = vasszög is, Sor = sorozat. A 3. csoporttal szándékosan ütközik.</t>
  </si>
  <si>
    <t>rsz-027</t>
  </si>
  <si>
    <t>2026-10-19</t>
  </si>
  <si>
    <t>Kémiai elemek</t>
  </si>
  <si>
    <t>Szén</t>
  </si>
  <si>
    <t>Vas</t>
  </si>
  <si>
    <t>Hélium</t>
  </si>
  <si>
    <t>Arany</t>
  </si>
  <si>
    <t>Belépő csoport; a Hélium adja meg. Arany költő neve és szín is.</t>
  </si>
  <si>
    <t>Növényi részek</t>
  </si>
  <si>
    <t>A bibe a termő felső, ragadós része</t>
  </si>
  <si>
    <t>Bibe</t>
  </si>
  <si>
    <t>Szár</t>
  </si>
  <si>
    <t>Bimbó</t>
  </si>
  <si>
    <t>Rügy</t>
  </si>
  <si>
    <t>Bimbó testrész is - de nincs testrész-csoport itt. Ez a csapda.</t>
  </si>
  <si>
    <t>Hajórészek</t>
  </si>
  <si>
    <t>Orr</t>
  </si>
  <si>
    <t>Far</t>
  </si>
  <si>
    <t>Árboc</t>
  </si>
  <si>
    <t>Kormány</t>
  </si>
  <si>
    <t>Orr és Far testrész is, Kormány = állam is.</t>
  </si>
  <si>
    <t>Felszínformák</t>
  </si>
  <si>
    <t>A nyereg két csúcs közti bemélyedés</t>
  </si>
  <si>
    <t>Fok</t>
  </si>
  <si>
    <t>Öböl</t>
  </si>
  <si>
    <t>Nyereg</t>
  </si>
  <si>
    <t>Medence</t>
  </si>
  <si>
    <t>Medence testrész is, Fok = hőfok is. A 3. csoporttal együtt egy nem létező testrész-csoportot sugall - ez a feladvány fő csapdája.</t>
  </si>
  <si>
    <t>rsz-028</t>
  </si>
  <si>
    <t>2026-10-20</t>
  </si>
  <si>
    <t>Ami a cukrászdában van</t>
  </si>
  <si>
    <t>Fagylalt</t>
  </si>
  <si>
    <t>Krémes</t>
  </si>
  <si>
    <t>Somlói</t>
  </si>
  <si>
    <t>Rétes</t>
  </si>
  <si>
    <t>A madár testrészei</t>
  </si>
  <si>
    <t>Csőr</t>
  </si>
  <si>
    <t>Toll</t>
  </si>
  <si>
    <t>Szárny</t>
  </si>
  <si>
    <t>Begy</t>
  </si>
  <si>
    <t>Toll = íróeszköz is, Szárny = épületszárny is.</t>
  </si>
  <si>
    <t>Az óra részei</t>
  </si>
  <si>
    <t>Mutató</t>
  </si>
  <si>
    <t>Rugó</t>
  </si>
  <si>
    <t>Lánc = nyaklánc is, Inga = fizikai inga is, Mutató = mutatóujj és mutatószám is.</t>
  </si>
  <si>
    <t>Optikai fogalmak</t>
  </si>
  <si>
    <t>Fény</t>
  </si>
  <si>
    <t>Árnyék</t>
  </si>
  <si>
    <t>Tükör</t>
  </si>
  <si>
    <t>Lencse</t>
  </si>
  <si>
    <t>Lencse = étel is. A 3. csoporttal ütközik: az inga és a tükör is "fizikaóra-szagú".</t>
  </si>
  <si>
    <t>rsz-029</t>
  </si>
  <si>
    <t>2026-10-21</t>
  </si>
  <si>
    <t>Magyar sörmárkák</t>
  </si>
  <si>
    <t>Soproni</t>
  </si>
  <si>
    <t>Dreher</t>
  </si>
  <si>
    <t>Borsodi</t>
  </si>
  <si>
    <t>Kőbányai</t>
  </si>
  <si>
    <t>A könyv részei</t>
  </si>
  <si>
    <t>A fül a borító behajtott széle</t>
  </si>
  <si>
    <t>Gerinc</t>
  </si>
  <si>
    <t>Fül</t>
  </si>
  <si>
    <t>Margó</t>
  </si>
  <si>
    <t>Kötés</t>
  </si>
  <si>
    <t>Gerinc és Fül testrész is, Kötés = kézimunka és sérülés is. Nincs testrész-csoport itt.</t>
  </si>
  <si>
    <t>Közgazdasági fogalmak</t>
  </si>
  <si>
    <t>Hozam</t>
  </si>
  <si>
    <t>Kínálat</t>
  </si>
  <si>
    <t>Mérleg = csillagjegy és eszköz is.</t>
  </si>
  <si>
    <t>Jogi fogalmak</t>
  </si>
  <si>
    <t>Per</t>
  </si>
  <si>
    <t>Vád</t>
  </si>
  <si>
    <t>Ítélet</t>
  </si>
  <si>
    <t>Per = osztásjel is ("öt per kettő"). A 3. csoporttal ütközik: mindkettő hivatalos-absztrakt szókincs.</t>
  </si>
  <si>
    <t>rsz-030</t>
  </si>
  <si>
    <t>2026-10-22</t>
  </si>
  <si>
    <t>Konyhai eszközök</t>
  </si>
  <si>
    <t>Habverő</t>
  </si>
  <si>
    <t>Fakanál</t>
  </si>
  <si>
    <t>Tepsi</t>
  </si>
  <si>
    <t>Merőkanál</t>
  </si>
  <si>
    <t>Merőkanál 9 karakter - még egy sorba fér.</t>
  </si>
  <si>
    <t>A számítógépen</t>
  </si>
  <si>
    <t>Egér</t>
  </si>
  <si>
    <t>Ablak</t>
  </si>
  <si>
    <t>Mappa</t>
  </si>
  <si>
    <t>Kukac</t>
  </si>
  <si>
    <t>Mind a négy hétköznapi tárgy vagy állat.</t>
  </si>
  <si>
    <t>A levél részei</t>
  </si>
  <si>
    <t>A fonák a levél alsó oldala</t>
  </si>
  <si>
    <t>Nyél</t>
  </si>
  <si>
    <t>Fonák</t>
  </si>
  <si>
    <t>Csúcs</t>
  </si>
  <si>
    <t>Szél</t>
  </si>
  <si>
    <t>Szél = időjárás is, Csúcs = hegycsúcs is, Fonák = teniszütés is.</t>
  </si>
  <si>
    <t>A fog részei</t>
  </si>
  <si>
    <t>Zománc</t>
  </si>
  <si>
    <t>Gyökér</t>
  </si>
  <si>
    <t>Ideg</t>
  </si>
  <si>
    <t>Gyökér növényi rész is - ezzel húz a 3. csoport felé, de a levélnek nincs gyökere. Korona = pénznem is.</t>
  </si>
  <si>
    <t>rsz-031</t>
  </si>
  <si>
    <t>2026-10-23</t>
  </si>
  <si>
    <t>Magyar olimpiai sportágak</t>
  </si>
  <si>
    <t>Vízilabda</t>
  </si>
  <si>
    <t>Kajak</t>
  </si>
  <si>
    <t>Párbajtőr</t>
  </si>
  <si>
    <t>Öttusa</t>
  </si>
  <si>
    <t>Vízilabda és Párbajtőr 9 karakter - mindkettő egy sorba fér.</t>
  </si>
  <si>
    <t>Vasúti szavak</t>
  </si>
  <si>
    <t>Váltó</t>
  </si>
  <si>
    <t>Sín</t>
  </si>
  <si>
    <t>Kocsi</t>
  </si>
  <si>
    <t>Pálya</t>
  </si>
  <si>
    <t>Pálya = sportpálya és életpálya is, Váltó = pénzügyi váltó is, Kocsi = autó is.</t>
  </si>
  <si>
    <t>A folyó részei</t>
  </si>
  <si>
    <t>Torkolat</t>
  </si>
  <si>
    <t>Meder</t>
  </si>
  <si>
    <t>Part</t>
  </si>
  <si>
    <t>Forrás</t>
  </si>
  <si>
    <t>Forrás = információforrás is, Part = buli is. A Kajak (1. csoport) ide húz.</t>
  </si>
  <si>
    <t>Vulkáni szavak</t>
  </si>
  <si>
    <t>Kráter</t>
  </si>
  <si>
    <t>Láva</t>
  </si>
  <si>
    <t>Hamu</t>
  </si>
  <si>
    <t>Kőzet</t>
  </si>
  <si>
    <t>Hamu = cigarettahamu is, Kráter = holdkráter is. A 3. csoporttal ütközik: mindkettő földrajz.</t>
  </si>
  <si>
    <t>rsz-032</t>
  </si>
  <si>
    <t>2026-10-24</t>
  </si>
  <si>
    <t>Ami a postán van</t>
  </si>
  <si>
    <t>Bélyeg</t>
  </si>
  <si>
    <t>Boríték</t>
  </si>
  <si>
    <t>Csomag</t>
  </si>
  <si>
    <t>Képeslap</t>
  </si>
  <si>
    <t>Épületrészek</t>
  </si>
  <si>
    <t>Oszlop</t>
  </si>
  <si>
    <t>Párkány</t>
  </si>
  <si>
    <t>Zsalu</t>
  </si>
  <si>
    <t>Tető</t>
  </si>
  <si>
    <t>Oszlop = táblázatoszlop is, Párkány = város is, Tető = tetőpont is.</t>
  </si>
  <si>
    <t>A gitár részei</t>
  </si>
  <si>
    <t>A nyereg a húrokat tartja a fej felőli végen</t>
  </si>
  <si>
    <t>Nyak</t>
  </si>
  <si>
    <t>Húr</t>
  </si>
  <si>
    <t>Érintő</t>
  </si>
  <si>
    <t>Nyak testrész is, Nyereg lóé is, Húr és Érintő geometriai fogalom is.</t>
  </si>
  <si>
    <t>Zenei alapfogalmak</t>
  </si>
  <si>
    <t>Dallam</t>
  </si>
  <si>
    <t>Ritmus</t>
  </si>
  <si>
    <t>Tempó</t>
  </si>
  <si>
    <t>Szólam</t>
  </si>
  <si>
    <t>Tempó = sietés is, Szólam = politikai szólam is. A 3. csoporttal ütközik: mindkettő zenei.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</si>
</sst>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sz val="11"/>
      <name val="Arial"/>
      <family val="2"/>
      <charset val="1"/>
    </font>
    <font>
      <sz val="11"/>
      <name val="Arial"/>
      <family val="2"/>
    </font>
    <font>
      <b/>
      <sz val="1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2" borderId="1" xfId="0" applyFont="1" applyFill="1" applyBorder="1"/>
    <xf numFmtId="0" fontId="2" fillId="0" borderId="1" xfId="0" applyFont="1" applyBorder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zoomScaleNormal="100" workbookViewId="0"/>
  </sheetViews>
  <sheetFormatPr defaultColWidth="8.6640625" defaultRowHeight="14.4" x14ac:dyDescent="0.3"/>
  <cols>
    <col min="1" max="1" width="30" customWidth="1"/>
    <col min="2" max="10" width="16" customWidth="1"/>
  </cols>
  <sheetData>
    <row r="1" spans="1:10" ht="17.25" customHeight="1" x14ac:dyDescent="0.3">
      <c r="A1" s="1" t="s">
        <v>0</v>
      </c>
    </row>
    <row r="2" spans="1:10" x14ac:dyDescent="0.3">
      <c r="A2" s="2"/>
    </row>
    <row r="3" spans="1:10" x14ac:dyDescent="0.3">
      <c r="A3" s="2" t="s">
        <v>1</v>
      </c>
    </row>
    <row r="4" spans="1:10" x14ac:dyDescent="0.3">
      <c r="A4" s="2" t="s">
        <v>2</v>
      </c>
    </row>
    <row r="5" spans="1:10" x14ac:dyDescent="0.3">
      <c r="A5" s="2" t="s">
        <v>3</v>
      </c>
    </row>
    <row r="6" spans="1:10" x14ac:dyDescent="0.3">
      <c r="A6" s="2"/>
    </row>
    <row r="7" spans="1:10" x14ac:dyDescent="0.3">
      <c r="A7" s="2" t="s">
        <v>4</v>
      </c>
    </row>
    <row r="8" spans="1:10" x14ac:dyDescent="0.3">
      <c r="A8" s="3" t="s">
        <v>5</v>
      </c>
    </row>
    <row r="9" spans="1:10" x14ac:dyDescent="0.3">
      <c r="A9" s="3" t="s">
        <v>6</v>
      </c>
    </row>
    <row r="10" spans="1:10" x14ac:dyDescent="0.3">
      <c r="A10" s="3" t="s">
        <v>7</v>
      </c>
    </row>
    <row r="11" spans="1:10" x14ac:dyDescent="0.3">
      <c r="A11" s="3" t="s">
        <v>8</v>
      </c>
    </row>
    <row r="12" spans="1:10" x14ac:dyDescent="0.3">
      <c r="A12" s="4"/>
    </row>
    <row r="13" spans="1:10" x14ac:dyDescent="0.3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3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spans="1:10" x14ac:dyDescent="0.3">
      <c r="A15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9"/>
  <sheetViews>
    <sheetView tabSelected="1" topLeftCell="D1" zoomScaleNormal="100" workbookViewId="0">
      <pane ySplit="1" topLeftCell="A85" activePane="bottomLeft" state="frozen"/>
      <selection pane="bottomLeft" activeCell="A98" sqref="A98:K129"/>
    </sheetView>
  </sheetViews>
  <sheetFormatPr defaultColWidth="8.6640625" defaultRowHeight="14.4" x14ac:dyDescent="0.3"/>
  <cols>
    <col min="1" max="1" width="14" customWidth="1"/>
    <col min="2" max="2" width="13" customWidth="1"/>
    <col min="3" max="3" width="7" customWidth="1"/>
    <col min="4" max="4" width="42" customWidth="1"/>
    <col min="5" max="5" width="46" customWidth="1"/>
    <col min="6" max="9" width="13" customWidth="1"/>
    <col min="10" max="10" width="22" customWidth="1"/>
    <col min="11" max="11" width="48" customWidth="1"/>
  </cols>
  <sheetData>
    <row r="1" spans="1:11" x14ac:dyDescent="0.3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</row>
    <row r="2" spans="1:11" x14ac:dyDescent="0.3">
      <c r="A2" s="7" t="s">
        <v>20</v>
      </c>
      <c r="B2" s="7" t="s">
        <v>21</v>
      </c>
      <c r="C2" s="7">
        <v>1</v>
      </c>
      <c r="D2" s="8" t="s">
        <v>22</v>
      </c>
      <c r="E2" s="8"/>
      <c r="F2" s="7" t="s">
        <v>23</v>
      </c>
      <c r="G2" s="7" t="s">
        <v>24</v>
      </c>
      <c r="H2" s="7" t="s">
        <v>25</v>
      </c>
      <c r="I2" s="7" t="s">
        <v>26</v>
      </c>
      <c r="J2" s="7"/>
      <c r="K2" s="8"/>
    </row>
    <row r="3" spans="1:11" x14ac:dyDescent="0.3">
      <c r="A3" s="7" t="s">
        <v>20</v>
      </c>
      <c r="B3" s="7" t="s">
        <v>21</v>
      </c>
      <c r="C3" s="7">
        <v>2</v>
      </c>
      <c r="D3" s="8" t="s">
        <v>27</v>
      </c>
      <c r="E3" s="8"/>
      <c r="F3" s="7" t="s">
        <v>28</v>
      </c>
      <c r="G3" s="7" t="s">
        <v>29</v>
      </c>
      <c r="H3" s="7" t="s">
        <v>30</v>
      </c>
      <c r="I3" s="7" t="s">
        <v>31</v>
      </c>
      <c r="J3" s="7"/>
      <c r="K3" s="8"/>
    </row>
    <row r="4" spans="1:11" x14ac:dyDescent="0.3">
      <c r="A4" s="7" t="s">
        <v>20</v>
      </c>
      <c r="B4" s="7" t="s">
        <v>21</v>
      </c>
      <c r="C4" s="7">
        <v>3</v>
      </c>
      <c r="D4" s="8" t="s">
        <v>32</v>
      </c>
      <c r="E4" s="8"/>
      <c r="F4" s="7" t="s">
        <v>33</v>
      </c>
      <c r="G4" s="7" t="s">
        <v>34</v>
      </c>
      <c r="H4" s="7" t="s">
        <v>35</v>
      </c>
      <c r="I4" s="7" t="s">
        <v>36</v>
      </c>
      <c r="J4" s="7" t="s">
        <v>37</v>
      </c>
      <c r="K4" s="8"/>
    </row>
    <row r="5" spans="1:11" x14ac:dyDescent="0.3">
      <c r="A5" s="7" t="s">
        <v>20</v>
      </c>
      <c r="B5" s="7" t="s">
        <v>21</v>
      </c>
      <c r="C5" s="7">
        <v>4</v>
      </c>
      <c r="D5" s="8" t="s">
        <v>38</v>
      </c>
      <c r="E5" s="8"/>
      <c r="F5" s="7" t="s">
        <v>39</v>
      </c>
      <c r="G5" s="7" t="s">
        <v>40</v>
      </c>
      <c r="H5" s="7" t="s">
        <v>41</v>
      </c>
      <c r="I5" s="7" t="s">
        <v>42</v>
      </c>
      <c r="J5" s="7"/>
      <c r="K5" s="8"/>
    </row>
    <row r="6" spans="1:11" x14ac:dyDescent="0.3">
      <c r="A6" s="7" t="s">
        <v>43</v>
      </c>
      <c r="B6" s="7" t="s">
        <v>44</v>
      </c>
      <c r="C6" s="7">
        <v>1</v>
      </c>
      <c r="D6" s="8" t="s">
        <v>45</v>
      </c>
      <c r="E6" s="8"/>
      <c r="F6" s="7" t="s">
        <v>46</v>
      </c>
      <c r="G6" s="7" t="s">
        <v>47</v>
      </c>
      <c r="H6" s="7" t="s">
        <v>48</v>
      </c>
      <c r="I6" s="7" t="s">
        <v>49</v>
      </c>
      <c r="J6" s="7"/>
      <c r="K6" s="8"/>
    </row>
    <row r="7" spans="1:11" x14ac:dyDescent="0.3">
      <c r="A7" s="7" t="s">
        <v>43</v>
      </c>
      <c r="B7" s="7" t="s">
        <v>44</v>
      </c>
      <c r="C7" s="7">
        <v>2</v>
      </c>
      <c r="D7" s="8" t="s">
        <v>50</v>
      </c>
      <c r="E7" s="8"/>
      <c r="F7" s="7" t="s">
        <v>51</v>
      </c>
      <c r="G7" s="7" t="s">
        <v>52</v>
      </c>
      <c r="H7" s="7" t="s">
        <v>53</v>
      </c>
      <c r="I7" s="7" t="s">
        <v>54</v>
      </c>
      <c r="J7" s="7"/>
      <c r="K7" s="8"/>
    </row>
    <row r="8" spans="1:11" x14ac:dyDescent="0.3">
      <c r="A8" s="7" t="s">
        <v>43</v>
      </c>
      <c r="B8" s="7" t="s">
        <v>44</v>
      </c>
      <c r="C8" s="7">
        <v>3</v>
      </c>
      <c r="D8" s="8" t="s">
        <v>55</v>
      </c>
      <c r="E8" s="8"/>
      <c r="F8" s="7" t="s">
        <v>56</v>
      </c>
      <c r="G8" s="7" t="s">
        <v>57</v>
      </c>
      <c r="H8" s="7" t="s">
        <v>58</v>
      </c>
      <c r="I8" s="7" t="s">
        <v>59</v>
      </c>
      <c r="J8" s="7" t="s">
        <v>60</v>
      </c>
      <c r="K8" s="8"/>
    </row>
    <row r="9" spans="1:11" x14ac:dyDescent="0.3">
      <c r="A9" s="7" t="s">
        <v>43</v>
      </c>
      <c r="B9" s="7" t="s">
        <v>44</v>
      </c>
      <c r="C9" s="7">
        <v>4</v>
      </c>
      <c r="D9" s="8" t="s">
        <v>61</v>
      </c>
      <c r="E9" s="8" t="s">
        <v>62</v>
      </c>
      <c r="F9" s="7" t="s">
        <v>63</v>
      </c>
      <c r="G9" s="7" t="s">
        <v>64</v>
      </c>
      <c r="H9" s="7" t="s">
        <v>65</v>
      </c>
      <c r="I9" s="7" t="s">
        <v>66</v>
      </c>
      <c r="J9" s="7"/>
      <c r="K9" s="8"/>
    </row>
    <row r="10" spans="1:11" x14ac:dyDescent="0.3">
      <c r="A10" s="7" t="s">
        <v>67</v>
      </c>
      <c r="B10" s="7" t="s">
        <v>68</v>
      </c>
      <c r="C10" s="7">
        <v>1</v>
      </c>
      <c r="D10" s="8" t="s">
        <v>69</v>
      </c>
      <c r="E10" s="8"/>
      <c r="F10" s="7" t="s">
        <v>70</v>
      </c>
      <c r="G10" s="7" t="s">
        <v>71</v>
      </c>
      <c r="H10" s="7" t="s">
        <v>72</v>
      </c>
      <c r="I10" s="7" t="s">
        <v>73</v>
      </c>
      <c r="J10" s="7"/>
      <c r="K10" s="8"/>
    </row>
    <row r="11" spans="1:11" x14ac:dyDescent="0.3">
      <c r="A11" s="7" t="s">
        <v>67</v>
      </c>
      <c r="B11" s="7" t="s">
        <v>68</v>
      </c>
      <c r="C11" s="7">
        <v>2</v>
      </c>
      <c r="D11" s="8" t="s">
        <v>74</v>
      </c>
      <c r="E11" s="8"/>
      <c r="F11" s="7" t="s">
        <v>75</v>
      </c>
      <c r="G11" s="7" t="s">
        <v>76</v>
      </c>
      <c r="H11" s="7" t="s">
        <v>77</v>
      </c>
      <c r="I11" s="7" t="s">
        <v>78</v>
      </c>
      <c r="J11" s="7"/>
      <c r="K11" s="8"/>
    </row>
    <row r="12" spans="1:11" ht="27.6" x14ac:dyDescent="0.3">
      <c r="A12" s="7" t="s">
        <v>67</v>
      </c>
      <c r="B12" s="7" t="s">
        <v>68</v>
      </c>
      <c r="C12" s="7">
        <v>3</v>
      </c>
      <c r="D12" s="8" t="s">
        <v>79</v>
      </c>
      <c r="E12" s="8" t="s">
        <v>80</v>
      </c>
      <c r="F12" s="7" t="s">
        <v>81</v>
      </c>
      <c r="G12" s="7" t="s">
        <v>82</v>
      </c>
      <c r="H12" s="7" t="s">
        <v>83</v>
      </c>
      <c r="I12" s="7" t="s">
        <v>84</v>
      </c>
      <c r="J12" s="7"/>
      <c r="K12" s="8"/>
    </row>
    <row r="13" spans="1:11" x14ac:dyDescent="0.3">
      <c r="A13" s="7" t="s">
        <v>67</v>
      </c>
      <c r="B13" s="7" t="s">
        <v>68</v>
      </c>
      <c r="C13" s="7">
        <v>4</v>
      </c>
      <c r="D13" s="8" t="s">
        <v>85</v>
      </c>
      <c r="E13" s="8"/>
      <c r="F13" s="7" t="s">
        <v>86</v>
      </c>
      <c r="G13" s="7" t="s">
        <v>87</v>
      </c>
      <c r="H13" s="7" t="s">
        <v>88</v>
      </c>
      <c r="I13" s="7" t="s">
        <v>89</v>
      </c>
      <c r="J13" s="7"/>
      <c r="K13" s="8"/>
    </row>
    <row r="14" spans="1:11" x14ac:dyDescent="0.3">
      <c r="A14" s="7" t="s">
        <v>90</v>
      </c>
      <c r="B14" s="7" t="s">
        <v>91</v>
      </c>
      <c r="C14" s="7">
        <v>1</v>
      </c>
      <c r="D14" s="8" t="s">
        <v>92</v>
      </c>
      <c r="E14" s="8"/>
      <c r="F14" s="7" t="s">
        <v>93</v>
      </c>
      <c r="G14" s="7" t="s">
        <v>94</v>
      </c>
      <c r="H14" s="7" t="s">
        <v>95</v>
      </c>
      <c r="I14" s="7" t="s">
        <v>96</v>
      </c>
      <c r="J14" s="7"/>
      <c r="K14" s="8"/>
    </row>
    <row r="15" spans="1:11" x14ac:dyDescent="0.3">
      <c r="A15" s="7" t="s">
        <v>90</v>
      </c>
      <c r="B15" s="7" t="s">
        <v>91</v>
      </c>
      <c r="C15" s="7">
        <v>2</v>
      </c>
      <c r="D15" s="8" t="s">
        <v>97</v>
      </c>
      <c r="E15" s="8"/>
      <c r="F15" s="7" t="s">
        <v>98</v>
      </c>
      <c r="G15" s="7" t="s">
        <v>99</v>
      </c>
      <c r="H15" s="7" t="s">
        <v>100</v>
      </c>
      <c r="I15" s="7" t="s">
        <v>101</v>
      </c>
      <c r="J15" s="7"/>
      <c r="K15" s="8"/>
    </row>
    <row r="16" spans="1:11" x14ac:dyDescent="0.3">
      <c r="A16" s="7" t="s">
        <v>90</v>
      </c>
      <c r="B16" s="7" t="s">
        <v>91</v>
      </c>
      <c r="C16" s="7">
        <v>3</v>
      </c>
      <c r="D16" s="8" t="s">
        <v>102</v>
      </c>
      <c r="E16" s="8" t="s">
        <v>103</v>
      </c>
      <c r="F16" s="7" t="s">
        <v>104</v>
      </c>
      <c r="G16" s="7" t="s">
        <v>105</v>
      </c>
      <c r="H16" s="7" t="s">
        <v>106</v>
      </c>
      <c r="I16" s="7" t="s">
        <v>107</v>
      </c>
      <c r="J16" s="7"/>
      <c r="K16" s="8"/>
    </row>
    <row r="17" spans="1:11" x14ac:dyDescent="0.3">
      <c r="A17" s="7" t="s">
        <v>90</v>
      </c>
      <c r="B17" s="7" t="s">
        <v>91</v>
      </c>
      <c r="C17" s="7">
        <v>4</v>
      </c>
      <c r="D17" s="8" t="s">
        <v>108</v>
      </c>
      <c r="E17" s="8" t="s">
        <v>109</v>
      </c>
      <c r="F17" s="7" t="s">
        <v>110</v>
      </c>
      <c r="G17" s="7" t="s">
        <v>111</v>
      </c>
      <c r="H17" s="7" t="s">
        <v>112</v>
      </c>
      <c r="I17" s="7" t="s">
        <v>113</v>
      </c>
      <c r="J17" s="7" t="s">
        <v>114</v>
      </c>
      <c r="K17" s="8"/>
    </row>
    <row r="18" spans="1:11" x14ac:dyDescent="0.3">
      <c r="A18" s="7" t="s">
        <v>115</v>
      </c>
      <c r="B18" s="7" t="s">
        <v>116</v>
      </c>
      <c r="C18" s="7">
        <v>1</v>
      </c>
      <c r="D18" s="8" t="s">
        <v>117</v>
      </c>
      <c r="E18" s="8"/>
      <c r="F18" s="7" t="s">
        <v>118</v>
      </c>
      <c r="G18" s="7" t="s">
        <v>119</v>
      </c>
      <c r="H18" s="7" t="s">
        <v>120</v>
      </c>
      <c r="I18" s="7" t="s">
        <v>121</v>
      </c>
      <c r="J18" s="7"/>
      <c r="K18" s="8"/>
    </row>
    <row r="19" spans="1:11" x14ac:dyDescent="0.3">
      <c r="A19" s="7" t="s">
        <v>115</v>
      </c>
      <c r="B19" s="7" t="s">
        <v>116</v>
      </c>
      <c r="C19" s="7">
        <v>2</v>
      </c>
      <c r="D19" s="8" t="s">
        <v>122</v>
      </c>
      <c r="E19" s="8"/>
      <c r="F19" s="7" t="s">
        <v>123</v>
      </c>
      <c r="G19" s="7" t="s">
        <v>124</v>
      </c>
      <c r="H19" s="7" t="s">
        <v>125</v>
      </c>
      <c r="I19" s="7" t="s">
        <v>126</v>
      </c>
      <c r="J19" s="7"/>
      <c r="K19" s="8"/>
    </row>
    <row r="20" spans="1:11" x14ac:dyDescent="0.3">
      <c r="A20" s="7" t="s">
        <v>115</v>
      </c>
      <c r="B20" s="7" t="s">
        <v>116</v>
      </c>
      <c r="C20" s="7">
        <v>3</v>
      </c>
      <c r="D20" s="8" t="s">
        <v>127</v>
      </c>
      <c r="E20" s="8"/>
      <c r="F20" s="7" t="s">
        <v>128</v>
      </c>
      <c r="G20" s="7" t="s">
        <v>129</v>
      </c>
      <c r="H20" s="7" t="s">
        <v>130</v>
      </c>
      <c r="I20" s="7" t="s">
        <v>131</v>
      </c>
      <c r="J20" s="7"/>
      <c r="K20" s="8"/>
    </row>
    <row r="21" spans="1:11" x14ac:dyDescent="0.3">
      <c r="A21" s="7" t="s">
        <v>115</v>
      </c>
      <c r="B21" s="7" t="s">
        <v>116</v>
      </c>
      <c r="C21" s="7">
        <v>4</v>
      </c>
      <c r="D21" s="8" t="s">
        <v>132</v>
      </c>
      <c r="E21" s="8"/>
      <c r="F21" s="7" t="s">
        <v>133</v>
      </c>
      <c r="G21" s="7" t="s">
        <v>134</v>
      </c>
      <c r="H21" s="7" t="s">
        <v>135</v>
      </c>
      <c r="I21" s="7" t="s">
        <v>136</v>
      </c>
      <c r="J21" s="7"/>
      <c r="K21" s="8"/>
    </row>
    <row r="22" spans="1:11" x14ac:dyDescent="0.3">
      <c r="A22" s="7" t="s">
        <v>137</v>
      </c>
      <c r="B22" s="7" t="s">
        <v>138</v>
      </c>
      <c r="C22" s="7">
        <v>1</v>
      </c>
      <c r="D22" s="8" t="s">
        <v>139</v>
      </c>
      <c r="E22" s="8"/>
      <c r="F22" s="7" t="s">
        <v>140</v>
      </c>
      <c r="G22" s="7" t="s">
        <v>141</v>
      </c>
      <c r="H22" s="7" t="s">
        <v>142</v>
      </c>
      <c r="I22" s="7" t="s">
        <v>143</v>
      </c>
      <c r="J22" s="7"/>
      <c r="K22" s="8"/>
    </row>
    <row r="23" spans="1:11" x14ac:dyDescent="0.3">
      <c r="A23" s="7" t="s">
        <v>137</v>
      </c>
      <c r="B23" s="7" t="s">
        <v>138</v>
      </c>
      <c r="C23" s="7">
        <v>2</v>
      </c>
      <c r="D23" s="8" t="s">
        <v>144</v>
      </c>
      <c r="E23" s="8"/>
      <c r="F23" s="7" t="s">
        <v>145</v>
      </c>
      <c r="G23" s="7" t="s">
        <v>146</v>
      </c>
      <c r="H23" s="7" t="s">
        <v>147</v>
      </c>
      <c r="I23" s="7" t="s">
        <v>148</v>
      </c>
      <c r="J23" s="7"/>
      <c r="K23" s="8"/>
    </row>
    <row r="24" spans="1:11" x14ac:dyDescent="0.3">
      <c r="A24" s="7" t="s">
        <v>137</v>
      </c>
      <c r="B24" s="7" t="s">
        <v>138</v>
      </c>
      <c r="C24" s="7">
        <v>3</v>
      </c>
      <c r="D24" s="8" t="s">
        <v>149</v>
      </c>
      <c r="E24" s="8"/>
      <c r="F24" s="7" t="s">
        <v>150</v>
      </c>
      <c r="G24" s="7" t="s">
        <v>151</v>
      </c>
      <c r="H24" s="7" t="s">
        <v>152</v>
      </c>
      <c r="I24" s="7" t="s">
        <v>153</v>
      </c>
      <c r="J24" s="7"/>
      <c r="K24" s="8"/>
    </row>
    <row r="25" spans="1:11" x14ac:dyDescent="0.3">
      <c r="A25" s="7" t="s">
        <v>137</v>
      </c>
      <c r="B25" s="7" t="s">
        <v>138</v>
      </c>
      <c r="C25" s="7">
        <v>4</v>
      </c>
      <c r="D25" s="8" t="s">
        <v>154</v>
      </c>
      <c r="E25" s="8"/>
      <c r="F25" s="7" t="s">
        <v>155</v>
      </c>
      <c r="G25" s="7" t="s">
        <v>156</v>
      </c>
      <c r="H25" s="7" t="s">
        <v>157</v>
      </c>
      <c r="I25" s="7" t="s">
        <v>158</v>
      </c>
      <c r="J25" s="7"/>
      <c r="K25" s="8"/>
    </row>
    <row r="26" spans="1:11" x14ac:dyDescent="0.3">
      <c r="A26" s="7" t="s">
        <v>159</v>
      </c>
      <c r="B26" s="7" t="s">
        <v>160</v>
      </c>
      <c r="C26" s="7">
        <v>1</v>
      </c>
      <c r="D26" s="8" t="s">
        <v>161</v>
      </c>
      <c r="E26" s="8"/>
      <c r="F26" s="7" t="s">
        <v>162</v>
      </c>
      <c r="G26" s="7" t="s">
        <v>163</v>
      </c>
      <c r="H26" s="7" t="s">
        <v>164</v>
      </c>
      <c r="I26" s="7" t="s">
        <v>165</v>
      </c>
      <c r="J26" s="7"/>
      <c r="K26" s="8"/>
    </row>
    <row r="27" spans="1:11" x14ac:dyDescent="0.3">
      <c r="A27" s="7" t="s">
        <v>159</v>
      </c>
      <c r="B27" s="7" t="s">
        <v>160</v>
      </c>
      <c r="C27" s="7">
        <v>2</v>
      </c>
      <c r="D27" s="8" t="s">
        <v>166</v>
      </c>
      <c r="E27" s="8"/>
      <c r="F27" s="7" t="s">
        <v>167</v>
      </c>
      <c r="G27" s="7" t="s">
        <v>168</v>
      </c>
      <c r="H27" s="7" t="s">
        <v>169</v>
      </c>
      <c r="I27" s="7" t="s">
        <v>170</v>
      </c>
      <c r="J27" s="7"/>
      <c r="K27" s="8"/>
    </row>
    <row r="28" spans="1:11" x14ac:dyDescent="0.3">
      <c r="A28" s="7" t="s">
        <v>159</v>
      </c>
      <c r="B28" s="7" t="s">
        <v>160</v>
      </c>
      <c r="C28" s="7">
        <v>3</v>
      </c>
      <c r="D28" s="8" t="s">
        <v>171</v>
      </c>
      <c r="E28" s="8"/>
      <c r="F28" s="7" t="s">
        <v>172</v>
      </c>
      <c r="G28" s="7" t="s">
        <v>173</v>
      </c>
      <c r="H28" s="7" t="s">
        <v>174</v>
      </c>
      <c r="I28" s="7" t="s">
        <v>175</v>
      </c>
      <c r="J28" s="7"/>
      <c r="K28" s="8"/>
    </row>
    <row r="29" spans="1:11" x14ac:dyDescent="0.3">
      <c r="A29" s="7" t="s">
        <v>159</v>
      </c>
      <c r="B29" s="7" t="s">
        <v>160</v>
      </c>
      <c r="C29" s="7">
        <v>4</v>
      </c>
      <c r="D29" s="8" t="s">
        <v>176</v>
      </c>
      <c r="E29" s="8" t="s">
        <v>177</v>
      </c>
      <c r="F29" s="7" t="s">
        <v>178</v>
      </c>
      <c r="G29" s="7" t="s">
        <v>179</v>
      </c>
      <c r="H29" s="7" t="s">
        <v>180</v>
      </c>
      <c r="I29" s="7" t="s">
        <v>181</v>
      </c>
      <c r="J29" s="7"/>
      <c r="K29" s="8"/>
    </row>
    <row r="30" spans="1:11" x14ac:dyDescent="0.3">
      <c r="A30" s="7" t="s">
        <v>182</v>
      </c>
      <c r="B30" s="7" t="s">
        <v>183</v>
      </c>
      <c r="C30" s="7">
        <v>1</v>
      </c>
      <c r="D30" s="8" t="s">
        <v>184</v>
      </c>
      <c r="E30" s="8"/>
      <c r="F30" s="7" t="s">
        <v>185</v>
      </c>
      <c r="G30" s="7" t="s">
        <v>186</v>
      </c>
      <c r="H30" s="7" t="s">
        <v>187</v>
      </c>
      <c r="I30" s="7" t="s">
        <v>188</v>
      </c>
      <c r="J30" s="7"/>
      <c r="K30" s="8"/>
    </row>
    <row r="31" spans="1:11" x14ac:dyDescent="0.3">
      <c r="A31" s="7" t="s">
        <v>182</v>
      </c>
      <c r="B31" s="7" t="s">
        <v>183</v>
      </c>
      <c r="C31" s="7">
        <v>2</v>
      </c>
      <c r="D31" s="8" t="s">
        <v>189</v>
      </c>
      <c r="E31" s="8"/>
      <c r="F31" s="7" t="s">
        <v>190</v>
      </c>
      <c r="G31" s="7" t="s">
        <v>191</v>
      </c>
      <c r="H31" s="7" t="s">
        <v>192</v>
      </c>
      <c r="I31" s="7" t="s">
        <v>193</v>
      </c>
      <c r="J31" s="7"/>
      <c r="K31" s="8"/>
    </row>
    <row r="32" spans="1:11" x14ac:dyDescent="0.3">
      <c r="A32" s="7" t="s">
        <v>182</v>
      </c>
      <c r="B32" s="7" t="s">
        <v>183</v>
      </c>
      <c r="C32" s="7">
        <v>3</v>
      </c>
      <c r="D32" s="8" t="s">
        <v>194</v>
      </c>
      <c r="E32" s="8"/>
      <c r="F32" s="7" t="s">
        <v>195</v>
      </c>
      <c r="G32" s="7" t="s">
        <v>196</v>
      </c>
      <c r="H32" s="7" t="s">
        <v>197</v>
      </c>
      <c r="I32" s="7" t="s">
        <v>198</v>
      </c>
      <c r="J32" s="7"/>
      <c r="K32" s="8"/>
    </row>
    <row r="33" spans="1:11" x14ac:dyDescent="0.3">
      <c r="A33" s="7" t="s">
        <v>182</v>
      </c>
      <c r="B33" s="7" t="s">
        <v>183</v>
      </c>
      <c r="C33" s="7">
        <v>4</v>
      </c>
      <c r="D33" s="8" t="s">
        <v>199</v>
      </c>
      <c r="E33" s="8"/>
      <c r="F33" s="7" t="s">
        <v>200</v>
      </c>
      <c r="G33" s="7" t="s">
        <v>201</v>
      </c>
      <c r="H33" s="7" t="s">
        <v>202</v>
      </c>
      <c r="I33" s="7" t="s">
        <v>140</v>
      </c>
      <c r="J33" s="7"/>
      <c r="K33" s="8"/>
    </row>
    <row r="34" spans="1:11" x14ac:dyDescent="0.3">
      <c r="A34" s="7" t="s">
        <v>203</v>
      </c>
      <c r="B34" s="7" t="s">
        <v>204</v>
      </c>
      <c r="C34" s="7">
        <v>1</v>
      </c>
      <c r="D34" s="8" t="s">
        <v>205</v>
      </c>
      <c r="E34" s="8"/>
      <c r="F34" s="7" t="s">
        <v>206</v>
      </c>
      <c r="G34" s="7" t="s">
        <v>207</v>
      </c>
      <c r="H34" s="7" t="s">
        <v>208</v>
      </c>
      <c r="I34" s="7" t="s">
        <v>209</v>
      </c>
      <c r="J34" s="7"/>
      <c r="K34" s="8"/>
    </row>
    <row r="35" spans="1:11" x14ac:dyDescent="0.3">
      <c r="A35" s="7" t="s">
        <v>203</v>
      </c>
      <c r="B35" s="7" t="s">
        <v>204</v>
      </c>
      <c r="C35" s="7">
        <v>2</v>
      </c>
      <c r="D35" s="8" t="s">
        <v>210</v>
      </c>
      <c r="E35" s="8"/>
      <c r="F35" s="7" t="s">
        <v>211</v>
      </c>
      <c r="G35" s="7" t="s">
        <v>212</v>
      </c>
      <c r="H35" s="7" t="s">
        <v>213</v>
      </c>
      <c r="I35" s="7" t="s">
        <v>214</v>
      </c>
      <c r="J35" s="7"/>
      <c r="K35" s="8"/>
    </row>
    <row r="36" spans="1:11" x14ac:dyDescent="0.3">
      <c r="A36" s="7" t="s">
        <v>203</v>
      </c>
      <c r="B36" s="7" t="s">
        <v>204</v>
      </c>
      <c r="C36" s="7">
        <v>3</v>
      </c>
      <c r="D36" s="8" t="s">
        <v>215</v>
      </c>
      <c r="E36" s="8"/>
      <c r="F36" s="7" t="s">
        <v>216</v>
      </c>
      <c r="G36" s="7" t="s">
        <v>217</v>
      </c>
      <c r="H36" s="7" t="s">
        <v>218</v>
      </c>
      <c r="I36" s="7" t="s">
        <v>219</v>
      </c>
      <c r="J36" s="7"/>
      <c r="K36" s="8"/>
    </row>
    <row r="37" spans="1:11" x14ac:dyDescent="0.3">
      <c r="A37" s="7" t="s">
        <v>203</v>
      </c>
      <c r="B37" s="7" t="s">
        <v>204</v>
      </c>
      <c r="C37" s="7">
        <v>4</v>
      </c>
      <c r="D37" s="8" t="s">
        <v>220</v>
      </c>
      <c r="E37" s="8"/>
      <c r="F37" s="7" t="s">
        <v>221</v>
      </c>
      <c r="G37" s="7" t="s">
        <v>222</v>
      </c>
      <c r="H37" s="7" t="s">
        <v>223</v>
      </c>
      <c r="I37" s="7" t="s">
        <v>224</v>
      </c>
      <c r="J37" s="7"/>
      <c r="K37" s="8"/>
    </row>
    <row r="38" spans="1:11" x14ac:dyDescent="0.3">
      <c r="A38" s="7" t="s">
        <v>225</v>
      </c>
      <c r="B38" s="7" t="s">
        <v>226</v>
      </c>
      <c r="C38" s="7">
        <v>1</v>
      </c>
      <c r="D38" s="8" t="s">
        <v>227</v>
      </c>
      <c r="E38" s="8"/>
      <c r="F38" s="7" t="s">
        <v>228</v>
      </c>
      <c r="G38" s="7" t="s">
        <v>229</v>
      </c>
      <c r="H38" s="7" t="s">
        <v>230</v>
      </c>
      <c r="I38" s="7" t="s">
        <v>231</v>
      </c>
      <c r="J38" s="7"/>
      <c r="K38" s="8"/>
    </row>
    <row r="39" spans="1:11" x14ac:dyDescent="0.3">
      <c r="A39" s="7" t="s">
        <v>225</v>
      </c>
      <c r="B39" s="7" t="s">
        <v>226</v>
      </c>
      <c r="C39" s="7">
        <v>2</v>
      </c>
      <c r="D39" s="8" t="s">
        <v>232</v>
      </c>
      <c r="E39" s="8"/>
      <c r="F39" s="7" t="s">
        <v>233</v>
      </c>
      <c r="G39" s="7" t="s">
        <v>234</v>
      </c>
      <c r="H39" s="7" t="s">
        <v>235</v>
      </c>
      <c r="I39" s="7" t="s">
        <v>236</v>
      </c>
      <c r="J39" s="7"/>
      <c r="K39" s="8"/>
    </row>
    <row r="40" spans="1:11" x14ac:dyDescent="0.3">
      <c r="A40" s="7" t="s">
        <v>225</v>
      </c>
      <c r="B40" s="7" t="s">
        <v>226</v>
      </c>
      <c r="C40" s="7">
        <v>3</v>
      </c>
      <c r="D40" s="8" t="s">
        <v>237</v>
      </c>
      <c r="E40" s="8"/>
      <c r="F40" s="7" t="s">
        <v>238</v>
      </c>
      <c r="G40" s="7" t="s">
        <v>239</v>
      </c>
      <c r="H40" s="7" t="s">
        <v>240</v>
      </c>
      <c r="I40" s="7" t="s">
        <v>241</v>
      </c>
      <c r="J40" s="7"/>
      <c r="K40" s="8"/>
    </row>
    <row r="41" spans="1:11" ht="27.6" x14ac:dyDescent="0.3">
      <c r="A41" s="7" t="s">
        <v>225</v>
      </c>
      <c r="B41" s="7" t="s">
        <v>226</v>
      </c>
      <c r="C41" s="7">
        <v>4</v>
      </c>
      <c r="D41" s="8" t="s">
        <v>242</v>
      </c>
      <c r="E41" s="8" t="s">
        <v>243</v>
      </c>
      <c r="F41" s="7" t="s">
        <v>244</v>
      </c>
      <c r="G41" s="7" t="s">
        <v>245</v>
      </c>
      <c r="H41" s="7" t="s">
        <v>246</v>
      </c>
      <c r="I41" s="7" t="s">
        <v>247</v>
      </c>
      <c r="J41" s="7"/>
      <c r="K41" s="8"/>
    </row>
    <row r="42" spans="1:11" x14ac:dyDescent="0.3">
      <c r="A42" s="7" t="s">
        <v>248</v>
      </c>
      <c r="B42" s="7" t="s">
        <v>249</v>
      </c>
      <c r="C42" s="7">
        <v>1</v>
      </c>
      <c r="D42" s="8" t="s">
        <v>250</v>
      </c>
      <c r="E42" s="8"/>
      <c r="F42" s="7" t="s">
        <v>251</v>
      </c>
      <c r="G42" s="7" t="s">
        <v>252</v>
      </c>
      <c r="H42" s="7" t="s">
        <v>253</v>
      </c>
      <c r="I42" s="7" t="s">
        <v>254</v>
      </c>
      <c r="J42" s="7"/>
      <c r="K42" s="8"/>
    </row>
    <row r="43" spans="1:11" x14ac:dyDescent="0.3">
      <c r="A43" s="7" t="s">
        <v>248</v>
      </c>
      <c r="B43" s="7" t="s">
        <v>249</v>
      </c>
      <c r="C43" s="7">
        <v>2</v>
      </c>
      <c r="D43" s="8" t="s">
        <v>255</v>
      </c>
      <c r="E43" s="8"/>
      <c r="F43" s="7" t="s">
        <v>256</v>
      </c>
      <c r="G43" s="7" t="s">
        <v>257</v>
      </c>
      <c r="H43" s="7" t="s">
        <v>258</v>
      </c>
      <c r="I43" s="7" t="s">
        <v>259</v>
      </c>
      <c r="J43" s="7"/>
      <c r="K43" s="8"/>
    </row>
    <row r="44" spans="1:11" x14ac:dyDescent="0.3">
      <c r="A44" s="7" t="s">
        <v>248</v>
      </c>
      <c r="B44" s="7" t="s">
        <v>249</v>
      </c>
      <c r="C44" s="7">
        <v>3</v>
      </c>
      <c r="D44" s="8" t="s">
        <v>260</v>
      </c>
      <c r="E44" s="8"/>
      <c r="F44" s="7" t="s">
        <v>261</v>
      </c>
      <c r="G44" s="7" t="s">
        <v>262</v>
      </c>
      <c r="H44" s="7" t="s">
        <v>263</v>
      </c>
      <c r="I44" s="7" t="s">
        <v>264</v>
      </c>
      <c r="J44" s="7"/>
      <c r="K44" s="8"/>
    </row>
    <row r="45" spans="1:11" x14ac:dyDescent="0.3">
      <c r="A45" s="7" t="s">
        <v>248</v>
      </c>
      <c r="B45" s="7" t="s">
        <v>249</v>
      </c>
      <c r="C45" s="7">
        <v>4</v>
      </c>
      <c r="D45" s="8" t="s">
        <v>265</v>
      </c>
      <c r="E45" s="8"/>
      <c r="F45" s="7" t="s">
        <v>266</v>
      </c>
      <c r="G45" s="7" t="s">
        <v>267</v>
      </c>
      <c r="H45" s="7" t="s">
        <v>268</v>
      </c>
      <c r="I45" s="7" t="s">
        <v>269</v>
      </c>
      <c r="J45" s="7" t="s">
        <v>270</v>
      </c>
      <c r="K45" s="8"/>
    </row>
    <row r="46" spans="1:11" x14ac:dyDescent="0.3">
      <c r="A46" s="7" t="s">
        <v>271</v>
      </c>
      <c r="B46" s="7" t="s">
        <v>272</v>
      </c>
      <c r="C46" s="7">
        <v>1</v>
      </c>
      <c r="D46" s="8" t="s">
        <v>273</v>
      </c>
      <c r="E46" s="8"/>
      <c r="F46" s="7" t="s">
        <v>274</v>
      </c>
      <c r="G46" s="7" t="s">
        <v>275</v>
      </c>
      <c r="H46" s="7" t="s">
        <v>276</v>
      </c>
      <c r="I46" s="7" t="s">
        <v>277</v>
      </c>
      <c r="J46" s="7"/>
      <c r="K46" s="8"/>
    </row>
    <row r="47" spans="1:11" ht="27.6" x14ac:dyDescent="0.3">
      <c r="A47" s="7" t="s">
        <v>271</v>
      </c>
      <c r="B47" s="7" t="s">
        <v>272</v>
      </c>
      <c r="C47" s="7">
        <v>2</v>
      </c>
      <c r="D47" s="8" t="s">
        <v>278</v>
      </c>
      <c r="E47" s="8"/>
      <c r="F47" s="7" t="s">
        <v>279</v>
      </c>
      <c r="G47" s="7" t="s">
        <v>280</v>
      </c>
      <c r="H47" s="7" t="s">
        <v>281</v>
      </c>
      <c r="I47" s="7" t="s">
        <v>282</v>
      </c>
      <c r="J47" s="7"/>
      <c r="K47" s="8" t="s">
        <v>283</v>
      </c>
    </row>
    <row r="48" spans="1:11" x14ac:dyDescent="0.3">
      <c r="A48" s="7" t="s">
        <v>271</v>
      </c>
      <c r="B48" s="7" t="s">
        <v>272</v>
      </c>
      <c r="C48" s="7">
        <v>3</v>
      </c>
      <c r="D48" s="8" t="s">
        <v>284</v>
      </c>
      <c r="E48" s="8" t="s">
        <v>285</v>
      </c>
      <c r="F48" s="7" t="s">
        <v>286</v>
      </c>
      <c r="G48" s="7" t="s">
        <v>287</v>
      </c>
      <c r="H48" s="7" t="s">
        <v>288</v>
      </c>
      <c r="I48" s="7" t="s">
        <v>289</v>
      </c>
      <c r="J48" s="7"/>
      <c r="K48" s="8" t="s">
        <v>290</v>
      </c>
    </row>
    <row r="49" spans="1:11" x14ac:dyDescent="0.3">
      <c r="A49" s="7" t="s">
        <v>271</v>
      </c>
      <c r="B49" s="7" t="s">
        <v>272</v>
      </c>
      <c r="C49" s="7">
        <v>4</v>
      </c>
      <c r="D49" s="8" t="s">
        <v>291</v>
      </c>
      <c r="E49" s="8" t="s">
        <v>292</v>
      </c>
      <c r="F49" s="7" t="s">
        <v>293</v>
      </c>
      <c r="G49" s="7" t="s">
        <v>294</v>
      </c>
      <c r="H49" s="7" t="s">
        <v>295</v>
      </c>
      <c r="I49" s="7" t="s">
        <v>296</v>
      </c>
      <c r="J49" s="7"/>
      <c r="K49" s="8" t="s">
        <v>297</v>
      </c>
    </row>
    <row r="50" spans="1:11" x14ac:dyDescent="0.3">
      <c r="A50" s="7" t="s">
        <v>298</v>
      </c>
      <c r="B50" s="7" t="s">
        <v>299</v>
      </c>
      <c r="C50" s="7">
        <v>1</v>
      </c>
      <c r="D50" s="8" t="s">
        <v>300</v>
      </c>
      <c r="E50" s="8"/>
      <c r="F50" s="7" t="s">
        <v>301</v>
      </c>
      <c r="G50" s="7" t="s">
        <v>302</v>
      </c>
      <c r="H50" s="7" t="s">
        <v>303</v>
      </c>
      <c r="I50" s="7" t="s">
        <v>304</v>
      </c>
      <c r="J50" s="7"/>
      <c r="K50" s="8"/>
    </row>
    <row r="51" spans="1:11" x14ac:dyDescent="0.3">
      <c r="A51" s="7" t="s">
        <v>298</v>
      </c>
      <c r="B51" s="7" t="s">
        <v>299</v>
      </c>
      <c r="C51" s="7">
        <v>2</v>
      </c>
      <c r="D51" s="8" t="s">
        <v>305</v>
      </c>
      <c r="E51" s="8"/>
      <c r="F51" s="7" t="s">
        <v>306</v>
      </c>
      <c r="G51" s="7" t="s">
        <v>307</v>
      </c>
      <c r="H51" s="7" t="s">
        <v>308</v>
      </c>
      <c r="I51" s="7" t="s">
        <v>309</v>
      </c>
      <c r="J51" s="7"/>
      <c r="K51" s="8"/>
    </row>
    <row r="52" spans="1:11" ht="27.6" x14ac:dyDescent="0.3">
      <c r="A52" s="7" t="s">
        <v>298</v>
      </c>
      <c r="B52" s="7" t="s">
        <v>299</v>
      </c>
      <c r="C52" s="7">
        <v>3</v>
      </c>
      <c r="D52" s="8" t="s">
        <v>310</v>
      </c>
      <c r="E52" s="8"/>
      <c r="F52" s="7" t="s">
        <v>311</v>
      </c>
      <c r="G52" s="7" t="s">
        <v>312</v>
      </c>
      <c r="H52" s="7" t="s">
        <v>313</v>
      </c>
      <c r="I52" s="7" t="s">
        <v>314</v>
      </c>
      <c r="J52" s="7"/>
      <c r="K52" s="8" t="s">
        <v>315</v>
      </c>
    </row>
    <row r="53" spans="1:11" x14ac:dyDescent="0.3">
      <c r="A53" s="7" t="s">
        <v>298</v>
      </c>
      <c r="B53" s="7" t="s">
        <v>299</v>
      </c>
      <c r="C53" s="7">
        <v>4</v>
      </c>
      <c r="D53" s="8" t="s">
        <v>316</v>
      </c>
      <c r="E53" s="8"/>
      <c r="F53" s="7" t="s">
        <v>317</v>
      </c>
      <c r="G53" s="7" t="s">
        <v>318</v>
      </c>
      <c r="H53" s="7" t="s">
        <v>319</v>
      </c>
      <c r="I53" s="7" t="s">
        <v>320</v>
      </c>
      <c r="J53" s="7"/>
      <c r="K53" s="8"/>
    </row>
    <row r="54" spans="1:11" x14ac:dyDescent="0.3">
      <c r="A54" s="7" t="s">
        <v>321</v>
      </c>
      <c r="B54" s="7" t="s">
        <v>322</v>
      </c>
      <c r="C54" s="7">
        <v>1</v>
      </c>
      <c r="D54" s="8" t="s">
        <v>323</v>
      </c>
      <c r="E54" s="8"/>
      <c r="F54" s="7" t="s">
        <v>324</v>
      </c>
      <c r="G54" s="7" t="s">
        <v>325</v>
      </c>
      <c r="H54" s="7" t="s">
        <v>326</v>
      </c>
      <c r="I54" s="7" t="s">
        <v>327</v>
      </c>
      <c r="J54" s="7"/>
      <c r="K54" s="8"/>
    </row>
    <row r="55" spans="1:11" x14ac:dyDescent="0.3">
      <c r="A55" s="7" t="s">
        <v>321</v>
      </c>
      <c r="B55" s="7" t="s">
        <v>322</v>
      </c>
      <c r="C55" s="7">
        <v>2</v>
      </c>
      <c r="D55" s="8" t="s">
        <v>328</v>
      </c>
      <c r="E55" s="8"/>
      <c r="F55" s="7" t="s">
        <v>329</v>
      </c>
      <c r="G55" s="7" t="s">
        <v>330</v>
      </c>
      <c r="H55" s="7" t="s">
        <v>331</v>
      </c>
      <c r="I55" s="7" t="s">
        <v>332</v>
      </c>
      <c r="J55" s="7"/>
      <c r="K55" s="8"/>
    </row>
    <row r="56" spans="1:11" x14ac:dyDescent="0.3">
      <c r="A56" s="7" t="s">
        <v>321</v>
      </c>
      <c r="B56" s="7" t="s">
        <v>322</v>
      </c>
      <c r="C56" s="7">
        <v>3</v>
      </c>
      <c r="D56" s="8" t="s">
        <v>333</v>
      </c>
      <c r="E56" s="8"/>
      <c r="F56" s="7" t="s">
        <v>334</v>
      </c>
      <c r="G56" s="7" t="s">
        <v>335</v>
      </c>
      <c r="H56" s="7" t="s">
        <v>336</v>
      </c>
      <c r="I56" s="7" t="s">
        <v>337</v>
      </c>
      <c r="J56" s="7"/>
      <c r="K56" s="8" t="s">
        <v>338</v>
      </c>
    </row>
    <row r="57" spans="1:11" x14ac:dyDescent="0.3">
      <c r="A57" s="7" t="s">
        <v>321</v>
      </c>
      <c r="B57" s="7" t="s">
        <v>322</v>
      </c>
      <c r="C57" s="7">
        <v>4</v>
      </c>
      <c r="D57" s="8" t="s">
        <v>339</v>
      </c>
      <c r="E57" s="8" t="s">
        <v>340</v>
      </c>
      <c r="F57" s="7" t="s">
        <v>341</v>
      </c>
      <c r="G57" s="7" t="s">
        <v>342</v>
      </c>
      <c r="H57" s="7" t="s">
        <v>276</v>
      </c>
      <c r="I57" s="7" t="s">
        <v>343</v>
      </c>
      <c r="J57" s="7"/>
      <c r="K57" s="8" t="s">
        <v>344</v>
      </c>
    </row>
    <row r="58" spans="1:11" x14ac:dyDescent="0.3">
      <c r="A58" s="7" t="s">
        <v>345</v>
      </c>
      <c r="B58" s="7" t="s">
        <v>346</v>
      </c>
      <c r="C58" s="7">
        <v>1</v>
      </c>
      <c r="D58" s="8" t="s">
        <v>347</v>
      </c>
      <c r="E58" s="8"/>
      <c r="F58" s="7" t="s">
        <v>348</v>
      </c>
      <c r="G58" s="7" t="s">
        <v>349</v>
      </c>
      <c r="H58" s="7" t="s">
        <v>350</v>
      </c>
      <c r="I58" s="7" t="s">
        <v>351</v>
      </c>
      <c r="J58" s="7"/>
      <c r="K58" s="8"/>
    </row>
    <row r="59" spans="1:11" x14ac:dyDescent="0.3">
      <c r="A59" s="7" t="s">
        <v>345</v>
      </c>
      <c r="B59" s="7" t="s">
        <v>346</v>
      </c>
      <c r="C59" s="7">
        <v>2</v>
      </c>
      <c r="D59" s="8" t="s">
        <v>352</v>
      </c>
      <c r="E59" s="8"/>
      <c r="F59" s="7" t="s">
        <v>353</v>
      </c>
      <c r="G59" s="7" t="s">
        <v>354</v>
      </c>
      <c r="H59" s="7" t="s">
        <v>355</v>
      </c>
      <c r="I59" s="7" t="s">
        <v>356</v>
      </c>
      <c r="J59" s="7"/>
      <c r="K59" s="8"/>
    </row>
    <row r="60" spans="1:11" x14ac:dyDescent="0.3">
      <c r="A60" s="7" t="s">
        <v>345</v>
      </c>
      <c r="B60" s="7" t="s">
        <v>346</v>
      </c>
      <c r="C60" s="7">
        <v>3</v>
      </c>
      <c r="D60" s="8" t="s">
        <v>357</v>
      </c>
      <c r="E60" s="8"/>
      <c r="F60" s="7" t="s">
        <v>358</v>
      </c>
      <c r="G60" s="7" t="s">
        <v>359</v>
      </c>
      <c r="H60" s="7" t="s">
        <v>360</v>
      </c>
      <c r="I60" s="7" t="s">
        <v>361</v>
      </c>
      <c r="J60" s="7"/>
      <c r="K60" s="8" t="s">
        <v>362</v>
      </c>
    </row>
    <row r="61" spans="1:11" x14ac:dyDescent="0.3">
      <c r="A61" s="7" t="s">
        <v>345</v>
      </c>
      <c r="B61" s="7" t="s">
        <v>346</v>
      </c>
      <c r="C61" s="7">
        <v>4</v>
      </c>
      <c r="D61" s="8" t="s">
        <v>363</v>
      </c>
      <c r="E61" s="8" t="s">
        <v>364</v>
      </c>
      <c r="F61" s="7" t="s">
        <v>365</v>
      </c>
      <c r="G61" s="7" t="s">
        <v>366</v>
      </c>
      <c r="H61" s="7" t="s">
        <v>367</v>
      </c>
      <c r="I61" s="7" t="s">
        <v>368</v>
      </c>
      <c r="J61" s="7"/>
      <c r="K61" s="8" t="s">
        <v>369</v>
      </c>
    </row>
    <row r="62" spans="1:11" x14ac:dyDescent="0.3">
      <c r="A62" s="7" t="s">
        <v>370</v>
      </c>
      <c r="B62" s="7" t="s">
        <v>371</v>
      </c>
      <c r="C62" s="7">
        <v>1</v>
      </c>
      <c r="D62" s="8" t="s">
        <v>372</v>
      </c>
      <c r="E62" s="8"/>
      <c r="F62" s="7" t="s">
        <v>373</v>
      </c>
      <c r="G62" s="7" t="s">
        <v>374</v>
      </c>
      <c r="H62" s="7" t="s">
        <v>375</v>
      </c>
      <c r="I62" s="7" t="s">
        <v>376</v>
      </c>
      <c r="J62" s="7"/>
      <c r="K62" s="8"/>
    </row>
    <row r="63" spans="1:11" x14ac:dyDescent="0.3">
      <c r="A63" s="7" t="s">
        <v>370</v>
      </c>
      <c r="B63" s="7" t="s">
        <v>371</v>
      </c>
      <c r="C63" s="7">
        <v>2</v>
      </c>
      <c r="D63" s="8" t="s">
        <v>377</v>
      </c>
      <c r="E63" s="8" t="s">
        <v>378</v>
      </c>
      <c r="F63" s="7" t="s">
        <v>379</v>
      </c>
      <c r="G63" s="7" t="s">
        <v>380</v>
      </c>
      <c r="H63" s="7" t="s">
        <v>381</v>
      </c>
      <c r="I63" s="7" t="s">
        <v>382</v>
      </c>
      <c r="J63" s="7"/>
      <c r="K63" s="8"/>
    </row>
    <row r="64" spans="1:11" x14ac:dyDescent="0.3">
      <c r="A64" s="7" t="s">
        <v>370</v>
      </c>
      <c r="B64" s="7" t="s">
        <v>371</v>
      </c>
      <c r="C64" s="7">
        <v>3</v>
      </c>
      <c r="D64" s="8" t="s">
        <v>383</v>
      </c>
      <c r="E64" s="8"/>
      <c r="F64" s="7" t="s">
        <v>384</v>
      </c>
      <c r="G64" s="7" t="s">
        <v>385</v>
      </c>
      <c r="H64" s="7" t="s">
        <v>386</v>
      </c>
      <c r="I64" s="7" t="s">
        <v>387</v>
      </c>
      <c r="J64" s="7"/>
      <c r="K64" s="8"/>
    </row>
    <row r="65" spans="1:11" x14ac:dyDescent="0.3">
      <c r="A65" s="7" t="s">
        <v>370</v>
      </c>
      <c r="B65" s="7" t="s">
        <v>371</v>
      </c>
      <c r="C65" s="7">
        <v>4</v>
      </c>
      <c r="D65" s="8" t="s">
        <v>388</v>
      </c>
      <c r="E65" s="8" t="s">
        <v>389</v>
      </c>
      <c r="F65" s="7" t="s">
        <v>390</v>
      </c>
      <c r="G65" s="7" t="s">
        <v>391</v>
      </c>
      <c r="H65" s="7" t="s">
        <v>392</v>
      </c>
      <c r="I65" s="7" t="s">
        <v>393</v>
      </c>
      <c r="J65" s="7"/>
      <c r="K65" s="8"/>
    </row>
    <row r="66" spans="1:11" x14ac:dyDescent="0.3">
      <c r="A66" s="7" t="s">
        <v>394</v>
      </c>
      <c r="B66" s="7" t="s">
        <v>395</v>
      </c>
      <c r="C66" s="7">
        <v>1</v>
      </c>
      <c r="D66" s="8" t="s">
        <v>396</v>
      </c>
      <c r="E66" s="8"/>
      <c r="F66" s="7" t="s">
        <v>397</v>
      </c>
      <c r="G66" s="7" t="s">
        <v>398</v>
      </c>
      <c r="H66" s="7" t="s">
        <v>399</v>
      </c>
      <c r="I66" s="7" t="s">
        <v>400</v>
      </c>
      <c r="J66" s="7"/>
      <c r="K66" s="8"/>
    </row>
    <row r="67" spans="1:11" ht="27.6" x14ac:dyDescent="0.3">
      <c r="A67" s="7" t="s">
        <v>394</v>
      </c>
      <c r="B67" s="7" t="s">
        <v>395</v>
      </c>
      <c r="C67" s="7">
        <v>2</v>
      </c>
      <c r="D67" s="8" t="s">
        <v>401</v>
      </c>
      <c r="E67" s="8"/>
      <c r="F67" s="7" t="s">
        <v>402</v>
      </c>
      <c r="G67" s="7" t="s">
        <v>403</v>
      </c>
      <c r="H67" s="7" t="s">
        <v>404</v>
      </c>
      <c r="I67" s="7" t="s">
        <v>405</v>
      </c>
      <c r="J67" s="7"/>
      <c r="K67" s="8" t="s">
        <v>406</v>
      </c>
    </row>
    <row r="68" spans="1:11" x14ac:dyDescent="0.3">
      <c r="A68" s="7" t="s">
        <v>394</v>
      </c>
      <c r="B68" s="7" t="s">
        <v>395</v>
      </c>
      <c r="C68" s="7">
        <v>3</v>
      </c>
      <c r="D68" s="8" t="s">
        <v>407</v>
      </c>
      <c r="E68" s="8"/>
      <c r="F68" s="7" t="s">
        <v>408</v>
      </c>
      <c r="G68" s="7" t="s">
        <v>409</v>
      </c>
      <c r="H68" s="7" t="s">
        <v>410</v>
      </c>
      <c r="I68" s="7" t="s">
        <v>411</v>
      </c>
      <c r="J68" s="7"/>
      <c r="K68" s="8"/>
    </row>
    <row r="69" spans="1:11" x14ac:dyDescent="0.3">
      <c r="A69" s="7" t="s">
        <v>394</v>
      </c>
      <c r="B69" s="7" t="s">
        <v>395</v>
      </c>
      <c r="C69" s="7">
        <v>4</v>
      </c>
      <c r="D69" s="8" t="s">
        <v>412</v>
      </c>
      <c r="E69" s="8" t="s">
        <v>413</v>
      </c>
      <c r="F69" s="7" t="s">
        <v>414</v>
      </c>
      <c r="G69" s="7" t="s">
        <v>211</v>
      </c>
      <c r="H69" s="7" t="s">
        <v>415</v>
      </c>
      <c r="I69" s="7" t="s">
        <v>416</v>
      </c>
      <c r="J69" s="7"/>
      <c r="K69" s="8"/>
    </row>
    <row r="70" spans="1:11" ht="27.6" x14ac:dyDescent="0.3">
      <c r="A70" s="7" t="s">
        <v>417</v>
      </c>
      <c r="B70" s="7" t="s">
        <v>418</v>
      </c>
      <c r="C70" s="7">
        <v>1</v>
      </c>
      <c r="D70" s="8" t="s">
        <v>419</v>
      </c>
      <c r="E70" s="8"/>
      <c r="F70" s="7" t="s">
        <v>420</v>
      </c>
      <c r="G70" s="7" t="s">
        <v>421</v>
      </c>
      <c r="H70" s="7" t="s">
        <v>422</v>
      </c>
      <c r="I70" s="7" t="s">
        <v>423</v>
      </c>
      <c r="J70" s="7"/>
      <c r="K70" s="8" t="s">
        <v>424</v>
      </c>
    </row>
    <row r="71" spans="1:11" x14ac:dyDescent="0.3">
      <c r="A71" s="7" t="s">
        <v>417</v>
      </c>
      <c r="B71" s="7" t="s">
        <v>418</v>
      </c>
      <c r="C71" s="7">
        <v>2</v>
      </c>
      <c r="D71" s="8" t="s">
        <v>425</v>
      </c>
      <c r="E71" s="8"/>
      <c r="F71" s="7" t="s">
        <v>426</v>
      </c>
      <c r="G71" s="7" t="s">
        <v>427</v>
      </c>
      <c r="H71" s="7" t="s">
        <v>428</v>
      </c>
      <c r="I71" s="7" t="s">
        <v>429</v>
      </c>
      <c r="J71" s="7"/>
      <c r="K71" s="8"/>
    </row>
    <row r="72" spans="1:11" x14ac:dyDescent="0.3">
      <c r="A72" s="7" t="s">
        <v>417</v>
      </c>
      <c r="B72" s="7" t="s">
        <v>418</v>
      </c>
      <c r="C72" s="7">
        <v>3</v>
      </c>
      <c r="D72" s="8" t="s">
        <v>430</v>
      </c>
      <c r="E72" s="8"/>
      <c r="F72" s="7" t="s">
        <v>431</v>
      </c>
      <c r="G72" s="7" t="s">
        <v>432</v>
      </c>
      <c r="H72" s="7" t="s">
        <v>433</v>
      </c>
      <c r="I72" s="7" t="s">
        <v>434</v>
      </c>
      <c r="J72" s="7"/>
      <c r="K72" s="8"/>
    </row>
    <row r="73" spans="1:11" x14ac:dyDescent="0.3">
      <c r="A73" s="7" t="s">
        <v>417</v>
      </c>
      <c r="B73" s="7" t="s">
        <v>418</v>
      </c>
      <c r="C73" s="7">
        <v>4</v>
      </c>
      <c r="D73" s="8" t="s">
        <v>435</v>
      </c>
      <c r="E73" s="8" t="s">
        <v>436</v>
      </c>
      <c r="F73" s="7" t="s">
        <v>437</v>
      </c>
      <c r="G73" s="7" t="s">
        <v>438</v>
      </c>
      <c r="H73" s="7" t="s">
        <v>439</v>
      </c>
      <c r="I73" s="7" t="s">
        <v>440</v>
      </c>
      <c r="J73" s="7"/>
      <c r="K73" s="8" t="s">
        <v>441</v>
      </c>
    </row>
    <row r="74" spans="1:11" x14ac:dyDescent="0.3">
      <c r="A74" s="7" t="s">
        <v>442</v>
      </c>
      <c r="B74" s="7" t="s">
        <v>443</v>
      </c>
      <c r="C74" s="7">
        <v>1</v>
      </c>
      <c r="D74" s="8" t="s">
        <v>444</v>
      </c>
      <c r="E74" s="8"/>
      <c r="F74" s="7" t="s">
        <v>445</v>
      </c>
      <c r="G74" s="7" t="s">
        <v>446</v>
      </c>
      <c r="H74" s="7" t="s">
        <v>447</v>
      </c>
      <c r="I74" s="7" t="s">
        <v>448</v>
      </c>
      <c r="J74" s="7"/>
      <c r="K74" s="8"/>
    </row>
    <row r="75" spans="1:11" x14ac:dyDescent="0.3">
      <c r="A75" s="7" t="s">
        <v>442</v>
      </c>
      <c r="B75" s="7" t="s">
        <v>443</v>
      </c>
      <c r="C75" s="7">
        <v>2</v>
      </c>
      <c r="D75" s="8" t="s">
        <v>449</v>
      </c>
      <c r="E75" s="8" t="s">
        <v>450</v>
      </c>
      <c r="F75" s="7" t="s">
        <v>451</v>
      </c>
      <c r="G75" s="7" t="s">
        <v>452</v>
      </c>
      <c r="H75" s="7" t="s">
        <v>453</v>
      </c>
      <c r="I75" s="7" t="s">
        <v>454</v>
      </c>
      <c r="J75" s="7"/>
      <c r="K75" s="8"/>
    </row>
    <row r="76" spans="1:11" x14ac:dyDescent="0.3">
      <c r="A76" s="7" t="s">
        <v>442</v>
      </c>
      <c r="B76" s="7" t="s">
        <v>443</v>
      </c>
      <c r="C76" s="7">
        <v>3</v>
      </c>
      <c r="D76" s="8" t="s">
        <v>455</v>
      </c>
      <c r="E76" s="8"/>
      <c r="F76" s="7" t="s">
        <v>456</v>
      </c>
      <c r="G76" s="7" t="s">
        <v>457</v>
      </c>
      <c r="H76" s="7" t="s">
        <v>458</v>
      </c>
      <c r="I76" s="7" t="s">
        <v>459</v>
      </c>
      <c r="J76" s="7"/>
      <c r="K76" s="8" t="s">
        <v>460</v>
      </c>
    </row>
    <row r="77" spans="1:11" ht="27.6" x14ac:dyDescent="0.3">
      <c r="A77" s="7" t="s">
        <v>442</v>
      </c>
      <c r="B77" s="7" t="s">
        <v>443</v>
      </c>
      <c r="C77" s="7">
        <v>4</v>
      </c>
      <c r="D77" s="8" t="s">
        <v>461</v>
      </c>
      <c r="E77" s="8"/>
      <c r="F77" s="7" t="s">
        <v>462</v>
      </c>
      <c r="G77" s="7" t="s">
        <v>463</v>
      </c>
      <c r="H77" s="7" t="s">
        <v>464</v>
      </c>
      <c r="I77" s="7" t="s">
        <v>465</v>
      </c>
      <c r="J77" s="7"/>
      <c r="K77" s="8" t="s">
        <v>466</v>
      </c>
    </row>
    <row r="78" spans="1:11" x14ac:dyDescent="0.3">
      <c r="A78" s="7" t="s">
        <v>467</v>
      </c>
      <c r="B78" s="7" t="s">
        <v>468</v>
      </c>
      <c r="C78" s="7">
        <v>1</v>
      </c>
      <c r="D78" s="8" t="s">
        <v>469</v>
      </c>
      <c r="E78" s="8"/>
      <c r="F78" s="7" t="s">
        <v>470</v>
      </c>
      <c r="G78" s="7" t="s">
        <v>471</v>
      </c>
      <c r="H78" s="7" t="s">
        <v>472</v>
      </c>
      <c r="I78" s="7" t="s">
        <v>473</v>
      </c>
      <c r="J78" s="7"/>
      <c r="K78" s="8"/>
    </row>
    <row r="79" spans="1:11" x14ac:dyDescent="0.3">
      <c r="A79" s="7" t="s">
        <v>467</v>
      </c>
      <c r="B79" s="7" t="s">
        <v>468</v>
      </c>
      <c r="C79" s="7">
        <v>2</v>
      </c>
      <c r="D79" s="8" t="s">
        <v>474</v>
      </c>
      <c r="E79" s="8"/>
      <c r="F79" s="7" t="s">
        <v>475</v>
      </c>
      <c r="G79" s="7" t="s">
        <v>476</v>
      </c>
      <c r="H79" s="7" t="s">
        <v>477</v>
      </c>
      <c r="I79" s="7" t="s">
        <v>478</v>
      </c>
      <c r="J79" s="7"/>
      <c r="K79" s="8" t="s">
        <v>479</v>
      </c>
    </row>
    <row r="80" spans="1:11" x14ac:dyDescent="0.3">
      <c r="A80" s="7" t="s">
        <v>467</v>
      </c>
      <c r="B80" s="7" t="s">
        <v>468</v>
      </c>
      <c r="C80" s="7">
        <v>3</v>
      </c>
      <c r="D80" s="8" t="s">
        <v>480</v>
      </c>
      <c r="E80" s="8" t="s">
        <v>481</v>
      </c>
      <c r="F80" s="7" t="s">
        <v>482</v>
      </c>
      <c r="G80" s="7" t="s">
        <v>483</v>
      </c>
      <c r="H80" s="7" t="s">
        <v>484</v>
      </c>
      <c r="I80" s="7" t="s">
        <v>485</v>
      </c>
      <c r="J80" s="7"/>
      <c r="K80" s="8" t="s">
        <v>486</v>
      </c>
    </row>
    <row r="81" spans="1:11" x14ac:dyDescent="0.3">
      <c r="A81" s="7" t="s">
        <v>467</v>
      </c>
      <c r="B81" s="7" t="s">
        <v>468</v>
      </c>
      <c r="C81" s="7">
        <v>4</v>
      </c>
      <c r="D81" s="8" t="s">
        <v>487</v>
      </c>
      <c r="E81" s="8" t="s">
        <v>488</v>
      </c>
      <c r="F81" s="7" t="s">
        <v>489</v>
      </c>
      <c r="G81" s="7" t="s">
        <v>490</v>
      </c>
      <c r="H81" s="7" t="s">
        <v>491</v>
      </c>
      <c r="I81" s="7" t="s">
        <v>492</v>
      </c>
      <c r="J81" s="7"/>
      <c r="K81" s="8"/>
    </row>
    <row r="82" spans="1:11" x14ac:dyDescent="0.3">
      <c r="A82" s="7" t="s">
        <v>493</v>
      </c>
      <c r="B82" s="7" t="s">
        <v>494</v>
      </c>
      <c r="C82" s="7">
        <v>1</v>
      </c>
      <c r="D82" s="8" t="s">
        <v>495</v>
      </c>
      <c r="E82" s="8"/>
      <c r="F82" s="7" t="s">
        <v>496</v>
      </c>
      <c r="G82" s="7" t="s">
        <v>497</v>
      </c>
      <c r="H82" s="7" t="s">
        <v>498</v>
      </c>
      <c r="I82" s="7" t="s">
        <v>499</v>
      </c>
      <c r="J82" s="7"/>
      <c r="K82" s="8"/>
    </row>
    <row r="83" spans="1:11" ht="27.6" x14ac:dyDescent="0.3">
      <c r="A83" s="7" t="s">
        <v>493</v>
      </c>
      <c r="B83" s="7" t="s">
        <v>494</v>
      </c>
      <c r="C83" s="7">
        <v>2</v>
      </c>
      <c r="D83" s="8" t="s">
        <v>500</v>
      </c>
      <c r="E83" s="8" t="s">
        <v>501</v>
      </c>
      <c r="F83" s="7" t="s">
        <v>502</v>
      </c>
      <c r="G83" s="7" t="s">
        <v>503</v>
      </c>
      <c r="H83" s="7" t="s">
        <v>504</v>
      </c>
      <c r="I83" s="7" t="s">
        <v>505</v>
      </c>
      <c r="J83" s="7"/>
      <c r="K83" s="8" t="s">
        <v>506</v>
      </c>
    </row>
    <row r="84" spans="1:11" x14ac:dyDescent="0.3">
      <c r="A84" s="7" t="s">
        <v>493</v>
      </c>
      <c r="B84" s="7" t="s">
        <v>494</v>
      </c>
      <c r="C84" s="7">
        <v>3</v>
      </c>
      <c r="D84" s="8" t="s">
        <v>507</v>
      </c>
      <c r="E84" s="8"/>
      <c r="F84" s="7" t="s">
        <v>508</v>
      </c>
      <c r="G84" s="7" t="s">
        <v>509</v>
      </c>
      <c r="H84" s="7" t="s">
        <v>510</v>
      </c>
      <c r="I84" s="7" t="s">
        <v>511</v>
      </c>
      <c r="J84" s="7"/>
      <c r="K84" s="8" t="s">
        <v>338</v>
      </c>
    </row>
    <row r="85" spans="1:11" x14ac:dyDescent="0.3">
      <c r="A85" s="7" t="s">
        <v>493</v>
      </c>
      <c r="B85" s="7" t="s">
        <v>494</v>
      </c>
      <c r="C85" s="7">
        <v>4</v>
      </c>
      <c r="D85" s="8" t="s">
        <v>512</v>
      </c>
      <c r="E85" s="8" t="s">
        <v>513</v>
      </c>
      <c r="F85" s="7" t="s">
        <v>514</v>
      </c>
      <c r="G85" s="7" t="s">
        <v>515</v>
      </c>
      <c r="H85" s="7" t="s">
        <v>251</v>
      </c>
      <c r="I85" s="7" t="s">
        <v>516</v>
      </c>
      <c r="J85" s="7"/>
      <c r="K85" s="8" t="s">
        <v>517</v>
      </c>
    </row>
    <row r="86" spans="1:11" x14ac:dyDescent="0.3">
      <c r="A86" s="7" t="s">
        <v>518</v>
      </c>
      <c r="B86" s="7" t="s">
        <v>519</v>
      </c>
      <c r="C86" s="7">
        <v>1</v>
      </c>
      <c r="D86" s="8" t="s">
        <v>520</v>
      </c>
      <c r="E86" s="8"/>
      <c r="F86" s="7" t="s">
        <v>521</v>
      </c>
      <c r="G86" s="7" t="s">
        <v>522</v>
      </c>
      <c r="H86" s="7" t="s">
        <v>523</v>
      </c>
      <c r="I86" s="7" t="s">
        <v>524</v>
      </c>
      <c r="J86" s="7"/>
      <c r="K86" s="8"/>
    </row>
    <row r="87" spans="1:11" x14ac:dyDescent="0.3">
      <c r="A87" s="7" t="s">
        <v>518</v>
      </c>
      <c r="B87" s="7" t="s">
        <v>519</v>
      </c>
      <c r="C87" s="7">
        <v>2</v>
      </c>
      <c r="D87" s="8" t="s">
        <v>525</v>
      </c>
      <c r="E87" s="8"/>
      <c r="F87" s="7" t="s">
        <v>526</v>
      </c>
      <c r="G87" s="7" t="s">
        <v>527</v>
      </c>
      <c r="H87" s="7" t="s">
        <v>528</v>
      </c>
      <c r="I87" s="7" t="s">
        <v>529</v>
      </c>
      <c r="J87" s="7"/>
      <c r="K87" s="8"/>
    </row>
    <row r="88" spans="1:11" x14ac:dyDescent="0.3">
      <c r="A88" s="7" t="s">
        <v>518</v>
      </c>
      <c r="B88" s="7" t="s">
        <v>519</v>
      </c>
      <c r="C88" s="7">
        <v>3</v>
      </c>
      <c r="D88" s="8" t="s">
        <v>530</v>
      </c>
      <c r="E88" s="8"/>
      <c r="F88" s="7" t="s">
        <v>531</v>
      </c>
      <c r="G88" s="7" t="s">
        <v>532</v>
      </c>
      <c r="H88" s="7" t="s">
        <v>533</v>
      </c>
      <c r="I88" s="7" t="s">
        <v>534</v>
      </c>
      <c r="J88" s="7"/>
      <c r="K88" s="8"/>
    </row>
    <row r="89" spans="1:11" x14ac:dyDescent="0.3">
      <c r="A89" s="7" t="s">
        <v>518</v>
      </c>
      <c r="B89" s="7" t="s">
        <v>519</v>
      </c>
      <c r="C89" s="7">
        <v>4</v>
      </c>
      <c r="D89" s="8" t="s">
        <v>535</v>
      </c>
      <c r="E89" s="8" t="s">
        <v>536</v>
      </c>
      <c r="F89" s="7" t="s">
        <v>151</v>
      </c>
      <c r="G89" s="7" t="s">
        <v>537</v>
      </c>
      <c r="H89" s="7" t="s">
        <v>538</v>
      </c>
      <c r="I89" s="7" t="s">
        <v>539</v>
      </c>
      <c r="J89" s="7"/>
      <c r="K89" s="8" t="s">
        <v>540</v>
      </c>
    </row>
    <row r="90" spans="1:11" x14ac:dyDescent="0.3">
      <c r="A90" s="7" t="s">
        <v>541</v>
      </c>
      <c r="B90" s="7" t="s">
        <v>542</v>
      </c>
      <c r="C90" s="7">
        <v>1</v>
      </c>
      <c r="D90" s="8" t="s">
        <v>543</v>
      </c>
      <c r="E90" s="8"/>
      <c r="F90" s="7" t="s">
        <v>544</v>
      </c>
      <c r="G90" s="7" t="s">
        <v>545</v>
      </c>
      <c r="H90" s="7" t="s">
        <v>546</v>
      </c>
      <c r="I90" s="7" t="s">
        <v>547</v>
      </c>
      <c r="J90" s="7"/>
      <c r="K90" s="8"/>
    </row>
    <row r="91" spans="1:11" x14ac:dyDescent="0.3">
      <c r="A91" s="7" t="s">
        <v>541</v>
      </c>
      <c r="B91" s="7" t="s">
        <v>542</v>
      </c>
      <c r="C91" s="7">
        <v>2</v>
      </c>
      <c r="D91" s="8" t="s">
        <v>548</v>
      </c>
      <c r="E91" s="8"/>
      <c r="F91" s="7" t="s">
        <v>549</v>
      </c>
      <c r="G91" s="7" t="s">
        <v>550</v>
      </c>
      <c r="H91" s="7" t="s">
        <v>551</v>
      </c>
      <c r="I91" s="7" t="s">
        <v>552</v>
      </c>
      <c r="J91" s="7"/>
      <c r="K91" s="8"/>
    </row>
    <row r="92" spans="1:11" x14ac:dyDescent="0.3">
      <c r="A92" s="7" t="s">
        <v>541</v>
      </c>
      <c r="B92" s="7" t="s">
        <v>542</v>
      </c>
      <c r="C92" s="7">
        <v>3</v>
      </c>
      <c r="D92" s="8" t="s">
        <v>553</v>
      </c>
      <c r="E92" s="8"/>
      <c r="F92" s="7" t="s">
        <v>554</v>
      </c>
      <c r="G92" s="7" t="s">
        <v>555</v>
      </c>
      <c r="H92" s="7" t="s">
        <v>556</v>
      </c>
      <c r="I92" s="7" t="s">
        <v>557</v>
      </c>
      <c r="J92" s="7"/>
      <c r="K92" s="8"/>
    </row>
    <row r="93" spans="1:11" x14ac:dyDescent="0.3">
      <c r="A93" s="7" t="s">
        <v>541</v>
      </c>
      <c r="B93" s="7" t="s">
        <v>542</v>
      </c>
      <c r="C93" s="7">
        <v>4</v>
      </c>
      <c r="D93" s="8" t="s">
        <v>558</v>
      </c>
      <c r="E93" s="8" t="s">
        <v>559</v>
      </c>
      <c r="F93" s="7" t="s">
        <v>560</v>
      </c>
      <c r="G93" s="7" t="s">
        <v>561</v>
      </c>
      <c r="H93" s="7" t="s">
        <v>562</v>
      </c>
      <c r="I93" s="7" t="s">
        <v>563</v>
      </c>
      <c r="J93" s="7"/>
      <c r="K93" s="8"/>
    </row>
    <row r="94" spans="1:11" x14ac:dyDescent="0.3">
      <c r="A94" s="7" t="s">
        <v>564</v>
      </c>
      <c r="B94" s="7" t="s">
        <v>565</v>
      </c>
      <c r="C94" s="7">
        <v>1</v>
      </c>
      <c r="D94" s="8" t="s">
        <v>566</v>
      </c>
      <c r="E94" s="8"/>
      <c r="F94" s="7" t="s">
        <v>567</v>
      </c>
      <c r="G94" s="7" t="s">
        <v>568</v>
      </c>
      <c r="H94" s="7" t="s">
        <v>569</v>
      </c>
      <c r="I94" s="7" t="s">
        <v>570</v>
      </c>
      <c r="J94" s="7"/>
      <c r="K94" s="8"/>
    </row>
    <row r="95" spans="1:11" x14ac:dyDescent="0.3">
      <c r="A95" s="7" t="s">
        <v>564</v>
      </c>
      <c r="B95" s="7" t="s">
        <v>565</v>
      </c>
      <c r="C95" s="7">
        <v>2</v>
      </c>
      <c r="D95" s="8" t="s">
        <v>571</v>
      </c>
      <c r="E95" s="8"/>
      <c r="F95" s="7" t="s">
        <v>572</v>
      </c>
      <c r="G95" s="7" t="s">
        <v>573</v>
      </c>
      <c r="H95" s="7" t="s">
        <v>574</v>
      </c>
      <c r="I95" s="7" t="s">
        <v>575</v>
      </c>
      <c r="J95" s="7"/>
      <c r="K95" s="8"/>
    </row>
    <row r="96" spans="1:11" x14ac:dyDescent="0.3">
      <c r="A96" s="7" t="s">
        <v>564</v>
      </c>
      <c r="B96" s="7" t="s">
        <v>565</v>
      </c>
      <c r="C96" s="7">
        <v>3</v>
      </c>
      <c r="D96" s="8" t="s">
        <v>576</v>
      </c>
      <c r="E96" s="8"/>
      <c r="F96" s="7" t="s">
        <v>577</v>
      </c>
      <c r="G96" s="7" t="s">
        <v>578</v>
      </c>
      <c r="H96" s="7" t="s">
        <v>579</v>
      </c>
      <c r="I96" s="7" t="s">
        <v>580</v>
      </c>
      <c r="J96" s="7"/>
      <c r="K96" s="8"/>
    </row>
    <row r="97" spans="1:11" x14ac:dyDescent="0.3">
      <c r="A97" s="7" t="s">
        <v>564</v>
      </c>
      <c r="B97" s="7" t="s">
        <v>565</v>
      </c>
      <c r="C97" s="7">
        <v>4</v>
      </c>
      <c r="D97" s="8" t="s">
        <v>581</v>
      </c>
      <c r="E97" s="8"/>
      <c r="F97" s="7" t="s">
        <v>582</v>
      </c>
      <c r="G97" s="7" t="s">
        <v>583</v>
      </c>
      <c r="H97" s="7" t="s">
        <v>584</v>
      </c>
      <c r="I97" s="7" t="s">
        <v>585</v>
      </c>
      <c r="J97" s="7" t="s">
        <v>586</v>
      </c>
      <c r="K97" s="8"/>
    </row>
    <row r="98" spans="1:11" ht="27.6" x14ac:dyDescent="0.3">
      <c r="A98" s="7" t="s">
        <v>598</v>
      </c>
      <c r="B98" s="7" t="s">
        <v>599</v>
      </c>
      <c r="C98" s="7">
        <v>1</v>
      </c>
      <c r="D98" s="8" t="s">
        <v>600</v>
      </c>
      <c r="E98" s="8" t="s">
        <v>601</v>
      </c>
      <c r="F98" s="7" t="s">
        <v>602</v>
      </c>
      <c r="G98" s="7" t="s">
        <v>603</v>
      </c>
      <c r="H98" s="7" t="s">
        <v>604</v>
      </c>
      <c r="I98" s="7" t="s">
        <v>605</v>
      </c>
      <c r="J98" s="7"/>
      <c r="K98" s="8" t="s">
        <v>606</v>
      </c>
    </row>
    <row r="99" spans="1:11" ht="27.6" x14ac:dyDescent="0.3">
      <c r="A99" s="7" t="s">
        <v>598</v>
      </c>
      <c r="B99" s="7" t="s">
        <v>599</v>
      </c>
      <c r="C99" s="7">
        <v>2</v>
      </c>
      <c r="D99" s="8" t="s">
        <v>607</v>
      </c>
      <c r="E99" s="8"/>
      <c r="F99" s="7" t="s">
        <v>608</v>
      </c>
      <c r="G99" s="7" t="s">
        <v>609</v>
      </c>
      <c r="H99" s="7" t="s">
        <v>610</v>
      </c>
      <c r="I99" s="7" t="s">
        <v>611</v>
      </c>
      <c r="J99" s="7"/>
      <c r="K99" s="8" t="s">
        <v>612</v>
      </c>
    </row>
    <row r="100" spans="1:11" ht="27.6" x14ac:dyDescent="0.3">
      <c r="A100" s="7" t="s">
        <v>598</v>
      </c>
      <c r="B100" s="7" t="s">
        <v>599</v>
      </c>
      <c r="C100" s="7">
        <v>3</v>
      </c>
      <c r="D100" s="8" t="s">
        <v>613</v>
      </c>
      <c r="E100" s="8" t="s">
        <v>614</v>
      </c>
      <c r="F100" s="7" t="s">
        <v>615</v>
      </c>
      <c r="G100" s="7" t="s">
        <v>616</v>
      </c>
      <c r="H100" s="7" t="s">
        <v>617</v>
      </c>
      <c r="I100" s="7" t="s">
        <v>618</v>
      </c>
      <c r="J100" s="7"/>
      <c r="K100" s="8" t="s">
        <v>619</v>
      </c>
    </row>
    <row r="101" spans="1:11" ht="27.6" x14ac:dyDescent="0.3">
      <c r="A101" s="7" t="s">
        <v>598</v>
      </c>
      <c r="B101" s="7" t="s">
        <v>599</v>
      </c>
      <c r="C101" s="7">
        <v>4</v>
      </c>
      <c r="D101" s="8" t="s">
        <v>620</v>
      </c>
      <c r="E101" s="8"/>
      <c r="F101" s="7" t="s">
        <v>621</v>
      </c>
      <c r="G101" s="7" t="s">
        <v>622</v>
      </c>
      <c r="H101" s="7" t="s">
        <v>623</v>
      </c>
      <c r="I101" s="7" t="s">
        <v>624</v>
      </c>
      <c r="J101" s="7"/>
      <c r="K101" s="8" t="s">
        <v>625</v>
      </c>
    </row>
    <row r="102" spans="1:11" ht="41.4" x14ac:dyDescent="0.3">
      <c r="A102" s="7" t="s">
        <v>626</v>
      </c>
      <c r="B102" s="7" t="s">
        <v>627</v>
      </c>
      <c r="C102" s="7">
        <v>1</v>
      </c>
      <c r="D102" s="8" t="s">
        <v>628</v>
      </c>
      <c r="E102" s="8"/>
      <c r="F102" s="7" t="s">
        <v>629</v>
      </c>
      <c r="G102" s="7" t="s">
        <v>630</v>
      </c>
      <c r="H102" s="7" t="s">
        <v>631</v>
      </c>
      <c r="I102" s="7" t="s">
        <v>632</v>
      </c>
      <c r="J102" s="7"/>
      <c r="K102" s="8" t="s">
        <v>633</v>
      </c>
    </row>
    <row r="103" spans="1:11" ht="41.4" x14ac:dyDescent="0.3">
      <c r="A103" s="7" t="s">
        <v>626</v>
      </c>
      <c r="B103" s="7" t="s">
        <v>627</v>
      </c>
      <c r="C103" s="7">
        <v>2</v>
      </c>
      <c r="D103" s="8" t="s">
        <v>634</v>
      </c>
      <c r="E103" s="8" t="s">
        <v>635</v>
      </c>
      <c r="F103" s="7" t="s">
        <v>636</v>
      </c>
      <c r="G103" s="7" t="s">
        <v>637</v>
      </c>
      <c r="H103" s="7" t="s">
        <v>638</v>
      </c>
      <c r="I103" s="7" t="s">
        <v>639</v>
      </c>
      <c r="J103" s="7"/>
      <c r="K103" s="8" t="s">
        <v>640</v>
      </c>
    </row>
    <row r="104" spans="1:11" ht="27.6" x14ac:dyDescent="0.3">
      <c r="A104" s="7" t="s">
        <v>626</v>
      </c>
      <c r="B104" s="7" t="s">
        <v>627</v>
      </c>
      <c r="C104" s="7">
        <v>3</v>
      </c>
      <c r="D104" s="8" t="s">
        <v>641</v>
      </c>
      <c r="E104" s="8" t="s">
        <v>642</v>
      </c>
      <c r="F104" s="7" t="s">
        <v>643</v>
      </c>
      <c r="G104" s="7" t="s">
        <v>644</v>
      </c>
      <c r="H104" s="7" t="s">
        <v>645</v>
      </c>
      <c r="I104" s="7" t="s">
        <v>646</v>
      </c>
      <c r="J104" s="7"/>
      <c r="K104" s="8" t="s">
        <v>647</v>
      </c>
    </row>
    <row r="105" spans="1:11" ht="27.6" x14ac:dyDescent="0.3">
      <c r="A105" s="7" t="s">
        <v>626</v>
      </c>
      <c r="B105" s="7" t="s">
        <v>627</v>
      </c>
      <c r="C105" s="7">
        <v>4</v>
      </c>
      <c r="D105" s="8" t="s">
        <v>648</v>
      </c>
      <c r="E105" s="8"/>
      <c r="F105" s="7" t="s">
        <v>649</v>
      </c>
      <c r="G105" s="7" t="s">
        <v>650</v>
      </c>
      <c r="H105" s="7" t="s">
        <v>651</v>
      </c>
      <c r="I105" s="7" t="s">
        <v>652</v>
      </c>
      <c r="J105" s="7"/>
      <c r="K105" s="8" t="s">
        <v>653</v>
      </c>
    </row>
    <row r="106" spans="1:11" ht="27.6" x14ac:dyDescent="0.3">
      <c r="A106" s="7" t="s">
        <v>654</v>
      </c>
      <c r="B106" s="7" t="s">
        <v>655</v>
      </c>
      <c r="C106" s="7">
        <v>1</v>
      </c>
      <c r="D106" s="8" t="s">
        <v>656</v>
      </c>
      <c r="E106" s="8"/>
      <c r="F106" s="7" t="s">
        <v>657</v>
      </c>
      <c r="G106" s="7" t="s">
        <v>658</v>
      </c>
      <c r="H106" s="7" t="s">
        <v>659</v>
      </c>
      <c r="I106" s="7" t="s">
        <v>660</v>
      </c>
      <c r="J106" s="7"/>
      <c r="K106" s="8" t="s">
        <v>661</v>
      </c>
    </row>
    <row r="107" spans="1:11" ht="27.6" x14ac:dyDescent="0.3">
      <c r="A107" s="7" t="s">
        <v>654</v>
      </c>
      <c r="B107" s="7" t="s">
        <v>655</v>
      </c>
      <c r="C107" s="7">
        <v>2</v>
      </c>
      <c r="D107" s="8" t="s">
        <v>662</v>
      </c>
      <c r="E107" s="8" t="s">
        <v>663</v>
      </c>
      <c r="F107" s="7" t="s">
        <v>664</v>
      </c>
      <c r="G107" s="7" t="s">
        <v>665</v>
      </c>
      <c r="H107" s="7" t="s">
        <v>666</v>
      </c>
      <c r="I107" s="7" t="s">
        <v>667</v>
      </c>
      <c r="J107" s="7"/>
      <c r="K107" s="8" t="s">
        <v>668</v>
      </c>
    </row>
    <row r="108" spans="1:11" x14ac:dyDescent="0.3">
      <c r="A108" s="7" t="s">
        <v>654</v>
      </c>
      <c r="B108" s="7" t="s">
        <v>655</v>
      </c>
      <c r="C108" s="7">
        <v>3</v>
      </c>
      <c r="D108" s="8" t="s">
        <v>669</v>
      </c>
      <c r="E108" s="8"/>
      <c r="F108" s="7" t="s">
        <v>670</v>
      </c>
      <c r="G108" s="7" t="s">
        <v>671</v>
      </c>
      <c r="H108" s="7" t="s">
        <v>672</v>
      </c>
      <c r="I108" s="7" t="s">
        <v>673</v>
      </c>
      <c r="J108" s="7"/>
      <c r="K108" s="8" t="s">
        <v>674</v>
      </c>
    </row>
    <row r="109" spans="1:11" ht="41.4" x14ac:dyDescent="0.3">
      <c r="A109" s="7" t="s">
        <v>654</v>
      </c>
      <c r="B109" s="7" t="s">
        <v>655</v>
      </c>
      <c r="C109" s="7">
        <v>4</v>
      </c>
      <c r="D109" s="8" t="s">
        <v>675</v>
      </c>
      <c r="E109" s="8" t="s">
        <v>676</v>
      </c>
      <c r="F109" s="7" t="s">
        <v>677</v>
      </c>
      <c r="G109" s="7" t="s">
        <v>678</v>
      </c>
      <c r="H109" s="7" t="s">
        <v>679</v>
      </c>
      <c r="I109" s="7" t="s">
        <v>680</v>
      </c>
      <c r="J109" s="7"/>
      <c r="K109" s="8" t="s">
        <v>681</v>
      </c>
    </row>
    <row r="110" spans="1:11" x14ac:dyDescent="0.3">
      <c r="A110" s="7" t="s">
        <v>682</v>
      </c>
      <c r="B110" s="7" t="s">
        <v>683</v>
      </c>
      <c r="C110" s="7">
        <v>1</v>
      </c>
      <c r="D110" s="8" t="s">
        <v>684</v>
      </c>
      <c r="E110" s="8"/>
      <c r="F110" s="7" t="s">
        <v>685</v>
      </c>
      <c r="G110" s="7" t="s">
        <v>686</v>
      </c>
      <c r="H110" s="7" t="s">
        <v>687</v>
      </c>
      <c r="I110" s="7" t="s">
        <v>688</v>
      </c>
      <c r="J110" s="7"/>
      <c r="K110" s="8"/>
    </row>
    <row r="111" spans="1:11" x14ac:dyDescent="0.3">
      <c r="A111" s="7" t="s">
        <v>682</v>
      </c>
      <c r="B111" s="7" t="s">
        <v>683</v>
      </c>
      <c r="C111" s="7">
        <v>2</v>
      </c>
      <c r="D111" s="8" t="s">
        <v>689</v>
      </c>
      <c r="E111" s="8"/>
      <c r="F111" s="7" t="s">
        <v>690</v>
      </c>
      <c r="G111" s="7" t="s">
        <v>691</v>
      </c>
      <c r="H111" s="7" t="s">
        <v>692</v>
      </c>
      <c r="I111" s="7" t="s">
        <v>693</v>
      </c>
      <c r="J111" s="7"/>
      <c r="K111" s="8" t="s">
        <v>694</v>
      </c>
    </row>
    <row r="112" spans="1:11" ht="27.6" x14ac:dyDescent="0.3">
      <c r="A112" s="7" t="s">
        <v>682</v>
      </c>
      <c r="B112" s="7" t="s">
        <v>683</v>
      </c>
      <c r="C112" s="7">
        <v>3</v>
      </c>
      <c r="D112" s="8" t="s">
        <v>695</v>
      </c>
      <c r="E112" s="8"/>
      <c r="F112" s="7" t="s">
        <v>696</v>
      </c>
      <c r="G112" s="7" t="s">
        <v>697</v>
      </c>
      <c r="H112" s="7" t="s">
        <v>100</v>
      </c>
      <c r="I112" s="7" t="s">
        <v>28</v>
      </c>
      <c r="J112" s="7"/>
      <c r="K112" s="8" t="s">
        <v>698</v>
      </c>
    </row>
    <row r="113" spans="1:11" ht="27.6" x14ac:dyDescent="0.3">
      <c r="A113" s="7" t="s">
        <v>682</v>
      </c>
      <c r="B113" s="7" t="s">
        <v>683</v>
      </c>
      <c r="C113" s="7">
        <v>4</v>
      </c>
      <c r="D113" s="8" t="s">
        <v>699</v>
      </c>
      <c r="E113" s="8"/>
      <c r="F113" s="7" t="s">
        <v>700</v>
      </c>
      <c r="G113" s="7" t="s">
        <v>701</v>
      </c>
      <c r="H113" s="7" t="s">
        <v>702</v>
      </c>
      <c r="I113" s="7" t="s">
        <v>703</v>
      </c>
      <c r="J113" s="7"/>
      <c r="K113" s="8" t="s">
        <v>704</v>
      </c>
    </row>
    <row r="114" spans="1:11" x14ac:dyDescent="0.3">
      <c r="A114" s="7" t="s">
        <v>705</v>
      </c>
      <c r="B114" s="7" t="s">
        <v>706</v>
      </c>
      <c r="C114" s="7">
        <v>1</v>
      </c>
      <c r="D114" s="8" t="s">
        <v>707</v>
      </c>
      <c r="E114" s="8"/>
      <c r="F114" s="7" t="s">
        <v>708</v>
      </c>
      <c r="G114" s="7" t="s">
        <v>709</v>
      </c>
      <c r="H114" s="7" t="s">
        <v>710</v>
      </c>
      <c r="I114" s="7" t="s">
        <v>711</v>
      </c>
      <c r="J114" s="7"/>
      <c r="K114" s="8"/>
    </row>
    <row r="115" spans="1:11" ht="27.6" x14ac:dyDescent="0.3">
      <c r="A115" s="7" t="s">
        <v>705</v>
      </c>
      <c r="B115" s="7" t="s">
        <v>706</v>
      </c>
      <c r="C115" s="7">
        <v>2</v>
      </c>
      <c r="D115" s="8" t="s">
        <v>712</v>
      </c>
      <c r="E115" s="8" t="s">
        <v>713</v>
      </c>
      <c r="F115" s="7" t="s">
        <v>714</v>
      </c>
      <c r="G115" s="7" t="s">
        <v>715</v>
      </c>
      <c r="H115" s="7" t="s">
        <v>716</v>
      </c>
      <c r="I115" s="7" t="s">
        <v>717</v>
      </c>
      <c r="J115" s="7"/>
      <c r="K115" s="8" t="s">
        <v>718</v>
      </c>
    </row>
    <row r="116" spans="1:11" x14ac:dyDescent="0.3">
      <c r="A116" s="7" t="s">
        <v>705</v>
      </c>
      <c r="B116" s="7" t="s">
        <v>706</v>
      </c>
      <c r="C116" s="7">
        <v>3</v>
      </c>
      <c r="D116" s="8" t="s">
        <v>719</v>
      </c>
      <c r="E116" s="8"/>
      <c r="F116" s="7" t="s">
        <v>202</v>
      </c>
      <c r="G116" s="7" t="s">
        <v>720</v>
      </c>
      <c r="H116" s="7" t="s">
        <v>721</v>
      </c>
      <c r="I116" s="7" t="s">
        <v>59</v>
      </c>
      <c r="J116" s="7"/>
      <c r="K116" s="8" t="s">
        <v>722</v>
      </c>
    </row>
    <row r="117" spans="1:11" ht="27.6" x14ac:dyDescent="0.3">
      <c r="A117" s="7" t="s">
        <v>705</v>
      </c>
      <c r="B117" s="7" t="s">
        <v>706</v>
      </c>
      <c r="C117" s="7">
        <v>4</v>
      </c>
      <c r="D117" s="8" t="s">
        <v>723</v>
      </c>
      <c r="E117" s="8"/>
      <c r="F117" s="7" t="s">
        <v>724</v>
      </c>
      <c r="G117" s="7" t="s">
        <v>725</v>
      </c>
      <c r="H117" s="7" t="s">
        <v>214</v>
      </c>
      <c r="I117" s="7" t="s">
        <v>726</v>
      </c>
      <c r="J117" s="7"/>
      <c r="K117" s="8" t="s">
        <v>727</v>
      </c>
    </row>
    <row r="118" spans="1:11" x14ac:dyDescent="0.3">
      <c r="A118" s="7" t="s">
        <v>728</v>
      </c>
      <c r="B118" s="7" t="s">
        <v>729</v>
      </c>
      <c r="C118" s="7">
        <v>1</v>
      </c>
      <c r="D118" s="8" t="s">
        <v>730</v>
      </c>
      <c r="E118" s="8"/>
      <c r="F118" s="7" t="s">
        <v>731</v>
      </c>
      <c r="G118" s="7" t="s">
        <v>732</v>
      </c>
      <c r="H118" s="7" t="s">
        <v>733</v>
      </c>
      <c r="I118" s="7" t="s">
        <v>734</v>
      </c>
      <c r="J118" s="7"/>
      <c r="K118" s="8" t="s">
        <v>735</v>
      </c>
    </row>
    <row r="119" spans="1:11" x14ac:dyDescent="0.3">
      <c r="A119" s="7" t="s">
        <v>728</v>
      </c>
      <c r="B119" s="7" t="s">
        <v>729</v>
      </c>
      <c r="C119" s="7">
        <v>2</v>
      </c>
      <c r="D119" s="8" t="s">
        <v>736</v>
      </c>
      <c r="E119" s="8"/>
      <c r="F119" s="7" t="s">
        <v>737</v>
      </c>
      <c r="G119" s="7" t="s">
        <v>738</v>
      </c>
      <c r="H119" s="7" t="s">
        <v>739</v>
      </c>
      <c r="I119" s="7" t="s">
        <v>740</v>
      </c>
      <c r="J119" s="7"/>
      <c r="K119" s="8" t="s">
        <v>741</v>
      </c>
    </row>
    <row r="120" spans="1:11" ht="27.6" x14ac:dyDescent="0.3">
      <c r="A120" s="7" t="s">
        <v>728</v>
      </c>
      <c r="B120" s="7" t="s">
        <v>729</v>
      </c>
      <c r="C120" s="7">
        <v>3</v>
      </c>
      <c r="D120" s="8" t="s">
        <v>742</v>
      </c>
      <c r="E120" s="8" t="s">
        <v>743</v>
      </c>
      <c r="F120" s="7" t="s">
        <v>744</v>
      </c>
      <c r="G120" s="7" t="s">
        <v>745</v>
      </c>
      <c r="H120" s="7" t="s">
        <v>746</v>
      </c>
      <c r="I120" s="7" t="s">
        <v>747</v>
      </c>
      <c r="J120" s="7"/>
      <c r="K120" s="8" t="s">
        <v>748</v>
      </c>
    </row>
    <row r="121" spans="1:11" ht="27.6" x14ac:dyDescent="0.3">
      <c r="A121" s="7" t="s">
        <v>728</v>
      </c>
      <c r="B121" s="7" t="s">
        <v>729</v>
      </c>
      <c r="C121" s="7">
        <v>4</v>
      </c>
      <c r="D121" s="8" t="s">
        <v>749</v>
      </c>
      <c r="E121" s="8"/>
      <c r="F121" s="7" t="s">
        <v>750</v>
      </c>
      <c r="G121" s="7" t="s">
        <v>751</v>
      </c>
      <c r="H121" s="7" t="s">
        <v>157</v>
      </c>
      <c r="I121" s="7" t="s">
        <v>752</v>
      </c>
      <c r="J121" s="7"/>
      <c r="K121" s="8" t="s">
        <v>753</v>
      </c>
    </row>
    <row r="122" spans="1:11" ht="27.6" x14ac:dyDescent="0.3">
      <c r="A122" s="7" t="s">
        <v>754</v>
      </c>
      <c r="B122" s="7" t="s">
        <v>755</v>
      </c>
      <c r="C122" s="7">
        <v>1</v>
      </c>
      <c r="D122" s="8" t="s">
        <v>756</v>
      </c>
      <c r="E122" s="8"/>
      <c r="F122" s="7" t="s">
        <v>757</v>
      </c>
      <c r="G122" s="7" t="s">
        <v>758</v>
      </c>
      <c r="H122" s="7" t="s">
        <v>759</v>
      </c>
      <c r="I122" s="7" t="s">
        <v>760</v>
      </c>
      <c r="J122" s="7"/>
      <c r="K122" s="8" t="s">
        <v>761</v>
      </c>
    </row>
    <row r="123" spans="1:11" ht="27.6" x14ac:dyDescent="0.3">
      <c r="A123" s="7" t="s">
        <v>754</v>
      </c>
      <c r="B123" s="7" t="s">
        <v>755</v>
      </c>
      <c r="C123" s="7">
        <v>2</v>
      </c>
      <c r="D123" s="8" t="s">
        <v>762</v>
      </c>
      <c r="E123" s="8"/>
      <c r="F123" s="7" t="s">
        <v>763</v>
      </c>
      <c r="G123" s="7" t="s">
        <v>764</v>
      </c>
      <c r="H123" s="7" t="s">
        <v>765</v>
      </c>
      <c r="I123" s="7" t="s">
        <v>766</v>
      </c>
      <c r="J123" s="7"/>
      <c r="K123" s="8" t="s">
        <v>767</v>
      </c>
    </row>
    <row r="124" spans="1:11" ht="27.6" x14ac:dyDescent="0.3">
      <c r="A124" s="7" t="s">
        <v>754</v>
      </c>
      <c r="B124" s="7" t="s">
        <v>755</v>
      </c>
      <c r="C124" s="7">
        <v>3</v>
      </c>
      <c r="D124" s="8" t="s">
        <v>768</v>
      </c>
      <c r="E124" s="8"/>
      <c r="F124" s="7" t="s">
        <v>769</v>
      </c>
      <c r="G124" s="7" t="s">
        <v>770</v>
      </c>
      <c r="H124" s="7" t="s">
        <v>771</v>
      </c>
      <c r="I124" s="7" t="s">
        <v>772</v>
      </c>
      <c r="J124" s="7"/>
      <c r="K124" s="8" t="s">
        <v>773</v>
      </c>
    </row>
    <row r="125" spans="1:11" ht="27.6" x14ac:dyDescent="0.3">
      <c r="A125" s="7" t="s">
        <v>754</v>
      </c>
      <c r="B125" s="7" t="s">
        <v>755</v>
      </c>
      <c r="C125" s="7">
        <v>4</v>
      </c>
      <c r="D125" s="8" t="s">
        <v>774</v>
      </c>
      <c r="E125" s="8"/>
      <c r="F125" s="7" t="s">
        <v>775</v>
      </c>
      <c r="G125" s="7" t="s">
        <v>776</v>
      </c>
      <c r="H125" s="7" t="s">
        <v>777</v>
      </c>
      <c r="I125" s="7" t="s">
        <v>778</v>
      </c>
      <c r="J125" s="7"/>
      <c r="K125" s="8" t="s">
        <v>779</v>
      </c>
    </row>
    <row r="126" spans="1:11" x14ac:dyDescent="0.3">
      <c r="A126" s="7" t="s">
        <v>780</v>
      </c>
      <c r="B126" s="7" t="s">
        <v>781</v>
      </c>
      <c r="C126" s="7">
        <v>1</v>
      </c>
      <c r="D126" s="8" t="s">
        <v>782</v>
      </c>
      <c r="E126" s="8"/>
      <c r="F126" s="7" t="s">
        <v>783</v>
      </c>
      <c r="G126" s="7" t="s">
        <v>784</v>
      </c>
      <c r="H126" s="7" t="s">
        <v>785</v>
      </c>
      <c r="I126" s="7" t="s">
        <v>786</v>
      </c>
      <c r="J126" s="7"/>
      <c r="K126" s="8"/>
    </row>
    <row r="127" spans="1:11" ht="27.6" x14ac:dyDescent="0.3">
      <c r="A127" s="7" t="s">
        <v>780</v>
      </c>
      <c r="B127" s="7" t="s">
        <v>781</v>
      </c>
      <c r="C127" s="7">
        <v>2</v>
      </c>
      <c r="D127" s="8" t="s">
        <v>787</v>
      </c>
      <c r="E127" s="8"/>
      <c r="F127" s="7" t="s">
        <v>788</v>
      </c>
      <c r="G127" s="7" t="s">
        <v>789</v>
      </c>
      <c r="H127" s="7" t="s">
        <v>790</v>
      </c>
      <c r="I127" s="7" t="s">
        <v>791</v>
      </c>
      <c r="J127" s="7"/>
      <c r="K127" s="8" t="s">
        <v>792</v>
      </c>
    </row>
    <row r="128" spans="1:11" ht="27.6" x14ac:dyDescent="0.3">
      <c r="A128" s="7" t="s">
        <v>780</v>
      </c>
      <c r="B128" s="7" t="s">
        <v>781</v>
      </c>
      <c r="C128" s="7">
        <v>3</v>
      </c>
      <c r="D128" s="8" t="s">
        <v>793</v>
      </c>
      <c r="E128" s="8" t="s">
        <v>794</v>
      </c>
      <c r="F128" s="7" t="s">
        <v>795</v>
      </c>
      <c r="G128" s="7" t="s">
        <v>796</v>
      </c>
      <c r="H128" s="7" t="s">
        <v>679</v>
      </c>
      <c r="I128" s="7" t="s">
        <v>797</v>
      </c>
      <c r="J128" s="7"/>
      <c r="K128" s="8" t="s">
        <v>798</v>
      </c>
    </row>
    <row r="129" spans="1:11" ht="27.6" x14ac:dyDescent="0.3">
      <c r="A129" s="7" t="s">
        <v>780</v>
      </c>
      <c r="B129" s="7" t="s">
        <v>781</v>
      </c>
      <c r="C129" s="7">
        <v>4</v>
      </c>
      <c r="D129" s="8" t="s">
        <v>799</v>
      </c>
      <c r="E129" s="8"/>
      <c r="F129" s="7" t="s">
        <v>800</v>
      </c>
      <c r="G129" s="7" t="s">
        <v>801</v>
      </c>
      <c r="H129" s="7" t="s">
        <v>802</v>
      </c>
      <c r="I129" s="7" t="s">
        <v>803</v>
      </c>
      <c r="J129" s="7"/>
      <c r="K129" s="8" t="s">
        <v>804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85"/>
  <sheetViews>
    <sheetView zoomScaleNormal="100" workbookViewId="0"/>
  </sheetViews>
  <sheetFormatPr defaultColWidth="8.6640625" defaultRowHeight="14.4" x14ac:dyDescent="0.3"/>
  <sheetData>
    <row r="1" spans="1:5" x14ac:dyDescent="0.3">
      <c r="A1" s="2" t="s">
        <v>9</v>
      </c>
      <c r="B1" s="2" t="s">
        <v>587</v>
      </c>
      <c r="C1" s="2" t="s">
        <v>588</v>
      </c>
      <c r="D1" s="2"/>
      <c r="E1" s="2" t="s">
        <v>589</v>
      </c>
    </row>
    <row r="2" spans="1:5" x14ac:dyDescent="0.3">
      <c r="A2" t="s">
        <v>20</v>
      </c>
      <c r="B2">
        <v>1</v>
      </c>
      <c r="C2" t="s">
        <v>24</v>
      </c>
      <c r="E2" t="s">
        <v>20</v>
      </c>
    </row>
    <row r="3" spans="1:5" x14ac:dyDescent="0.3">
      <c r="A3" t="s">
        <v>20</v>
      </c>
      <c r="B3">
        <v>2</v>
      </c>
      <c r="C3" t="s">
        <v>40</v>
      </c>
      <c r="E3" t="s">
        <v>43</v>
      </c>
    </row>
    <row r="4" spans="1:5" x14ac:dyDescent="0.3">
      <c r="A4" t="s">
        <v>20</v>
      </c>
      <c r="B4">
        <v>3</v>
      </c>
      <c r="C4" t="s">
        <v>36</v>
      </c>
      <c r="E4" t="s">
        <v>67</v>
      </c>
    </row>
    <row r="5" spans="1:5" x14ac:dyDescent="0.3">
      <c r="A5" t="s">
        <v>20</v>
      </c>
      <c r="B5">
        <v>4</v>
      </c>
      <c r="C5" t="s">
        <v>34</v>
      </c>
      <c r="E5" t="s">
        <v>90</v>
      </c>
    </row>
    <row r="6" spans="1:5" x14ac:dyDescent="0.3">
      <c r="A6" t="s">
        <v>20</v>
      </c>
      <c r="B6">
        <v>5</v>
      </c>
      <c r="C6" t="s">
        <v>41</v>
      </c>
      <c r="E6" t="s">
        <v>115</v>
      </c>
    </row>
    <row r="7" spans="1:5" x14ac:dyDescent="0.3">
      <c r="A7" t="s">
        <v>20</v>
      </c>
      <c r="B7">
        <v>6</v>
      </c>
      <c r="C7" t="s">
        <v>28</v>
      </c>
      <c r="E7" t="s">
        <v>137</v>
      </c>
    </row>
    <row r="8" spans="1:5" x14ac:dyDescent="0.3">
      <c r="A8" t="s">
        <v>20</v>
      </c>
      <c r="B8">
        <v>7</v>
      </c>
      <c r="C8" t="s">
        <v>25</v>
      </c>
      <c r="E8" t="s">
        <v>159</v>
      </c>
    </row>
    <row r="9" spans="1:5" x14ac:dyDescent="0.3">
      <c r="A9" t="s">
        <v>20</v>
      </c>
      <c r="B9">
        <v>8</v>
      </c>
      <c r="C9" t="s">
        <v>39</v>
      </c>
      <c r="E9" t="s">
        <v>182</v>
      </c>
    </row>
    <row r="10" spans="1:5" x14ac:dyDescent="0.3">
      <c r="A10" t="s">
        <v>20</v>
      </c>
      <c r="B10">
        <v>9</v>
      </c>
      <c r="C10" t="s">
        <v>29</v>
      </c>
      <c r="E10" t="s">
        <v>203</v>
      </c>
    </row>
    <row r="11" spans="1:5" x14ac:dyDescent="0.3">
      <c r="A11" t="s">
        <v>20</v>
      </c>
      <c r="B11">
        <v>10</v>
      </c>
      <c r="C11" t="s">
        <v>31</v>
      </c>
      <c r="E11" t="s">
        <v>225</v>
      </c>
    </row>
    <row r="12" spans="1:5" x14ac:dyDescent="0.3">
      <c r="A12" t="s">
        <v>20</v>
      </c>
      <c r="B12">
        <v>11</v>
      </c>
      <c r="C12" t="s">
        <v>35</v>
      </c>
      <c r="E12" t="s">
        <v>248</v>
      </c>
    </row>
    <row r="13" spans="1:5" x14ac:dyDescent="0.3">
      <c r="A13" t="s">
        <v>20</v>
      </c>
      <c r="B13">
        <v>12</v>
      </c>
      <c r="C13" t="s">
        <v>26</v>
      </c>
      <c r="E13" t="s">
        <v>271</v>
      </c>
    </row>
    <row r="14" spans="1:5" x14ac:dyDescent="0.3">
      <c r="A14" t="s">
        <v>20</v>
      </c>
      <c r="B14">
        <v>13</v>
      </c>
      <c r="C14" t="s">
        <v>33</v>
      </c>
      <c r="E14" t="s">
        <v>298</v>
      </c>
    </row>
    <row r="15" spans="1:5" x14ac:dyDescent="0.3">
      <c r="A15" t="s">
        <v>20</v>
      </c>
      <c r="B15">
        <v>14</v>
      </c>
      <c r="C15" t="s">
        <v>23</v>
      </c>
      <c r="E15" t="s">
        <v>321</v>
      </c>
    </row>
    <row r="16" spans="1:5" x14ac:dyDescent="0.3">
      <c r="A16" t="s">
        <v>20</v>
      </c>
      <c r="B16">
        <v>15</v>
      </c>
      <c r="C16" t="s">
        <v>42</v>
      </c>
      <c r="E16" t="s">
        <v>345</v>
      </c>
    </row>
    <row r="17" spans="1:5" x14ac:dyDescent="0.3">
      <c r="A17" t="s">
        <v>20</v>
      </c>
      <c r="B17">
        <v>16</v>
      </c>
      <c r="C17" t="s">
        <v>30</v>
      </c>
      <c r="E17" t="s">
        <v>370</v>
      </c>
    </row>
    <row r="18" spans="1:5" x14ac:dyDescent="0.3">
      <c r="A18" t="s">
        <v>43</v>
      </c>
      <c r="B18">
        <v>1</v>
      </c>
      <c r="C18" t="s">
        <v>48</v>
      </c>
      <c r="E18" t="s">
        <v>394</v>
      </c>
    </row>
    <row r="19" spans="1:5" x14ac:dyDescent="0.3">
      <c r="A19" t="s">
        <v>43</v>
      </c>
      <c r="B19">
        <v>2</v>
      </c>
      <c r="C19" t="s">
        <v>47</v>
      </c>
      <c r="E19" t="s">
        <v>417</v>
      </c>
    </row>
    <row r="20" spans="1:5" x14ac:dyDescent="0.3">
      <c r="A20" t="s">
        <v>43</v>
      </c>
      <c r="B20">
        <v>3</v>
      </c>
      <c r="C20" t="s">
        <v>65</v>
      </c>
      <c r="E20" t="s">
        <v>442</v>
      </c>
    </row>
    <row r="21" spans="1:5" x14ac:dyDescent="0.3">
      <c r="A21" t="s">
        <v>43</v>
      </c>
      <c r="B21">
        <v>4</v>
      </c>
      <c r="C21" t="s">
        <v>52</v>
      </c>
      <c r="E21" t="s">
        <v>467</v>
      </c>
    </row>
    <row r="22" spans="1:5" x14ac:dyDescent="0.3">
      <c r="A22" t="s">
        <v>43</v>
      </c>
      <c r="B22">
        <v>5</v>
      </c>
      <c r="C22" t="s">
        <v>59</v>
      </c>
      <c r="E22" t="s">
        <v>493</v>
      </c>
    </row>
    <row r="23" spans="1:5" x14ac:dyDescent="0.3">
      <c r="A23" t="s">
        <v>43</v>
      </c>
      <c r="B23">
        <v>6</v>
      </c>
      <c r="C23" t="s">
        <v>64</v>
      </c>
      <c r="E23" t="s">
        <v>518</v>
      </c>
    </row>
    <row r="24" spans="1:5" x14ac:dyDescent="0.3">
      <c r="A24" t="s">
        <v>43</v>
      </c>
      <c r="B24">
        <v>7</v>
      </c>
      <c r="C24" t="s">
        <v>46</v>
      </c>
      <c r="E24" t="s">
        <v>541</v>
      </c>
    </row>
    <row r="25" spans="1:5" x14ac:dyDescent="0.3">
      <c r="A25" t="s">
        <v>43</v>
      </c>
      <c r="B25">
        <v>8</v>
      </c>
      <c r="C25" t="s">
        <v>49</v>
      </c>
      <c r="E25" t="s">
        <v>564</v>
      </c>
    </row>
    <row r="26" spans="1:5" x14ac:dyDescent="0.3">
      <c r="A26" t="s">
        <v>43</v>
      </c>
      <c r="B26">
        <v>9</v>
      </c>
      <c r="C26" t="s">
        <v>58</v>
      </c>
    </row>
    <row r="27" spans="1:5" x14ac:dyDescent="0.3">
      <c r="A27" t="s">
        <v>43</v>
      </c>
      <c r="B27">
        <v>10</v>
      </c>
      <c r="C27" t="s">
        <v>56</v>
      </c>
    </row>
    <row r="28" spans="1:5" x14ac:dyDescent="0.3">
      <c r="A28" t="s">
        <v>43</v>
      </c>
      <c r="B28">
        <v>11</v>
      </c>
      <c r="C28" t="s">
        <v>57</v>
      </c>
    </row>
    <row r="29" spans="1:5" x14ac:dyDescent="0.3">
      <c r="A29" t="s">
        <v>43</v>
      </c>
      <c r="B29">
        <v>12</v>
      </c>
      <c r="C29" t="s">
        <v>54</v>
      </c>
    </row>
    <row r="30" spans="1:5" x14ac:dyDescent="0.3">
      <c r="A30" t="s">
        <v>43</v>
      </c>
      <c r="B30">
        <v>13</v>
      </c>
      <c r="C30" t="s">
        <v>63</v>
      </c>
    </row>
    <row r="31" spans="1:5" x14ac:dyDescent="0.3">
      <c r="A31" t="s">
        <v>43</v>
      </c>
      <c r="B31">
        <v>14</v>
      </c>
      <c r="C31" t="s">
        <v>66</v>
      </c>
    </row>
    <row r="32" spans="1:5" x14ac:dyDescent="0.3">
      <c r="A32" t="s">
        <v>43</v>
      </c>
      <c r="B32">
        <v>15</v>
      </c>
      <c r="C32" t="s">
        <v>53</v>
      </c>
    </row>
    <row r="33" spans="1:3" x14ac:dyDescent="0.3">
      <c r="A33" t="s">
        <v>43</v>
      </c>
      <c r="B33">
        <v>16</v>
      </c>
      <c r="C33" t="s">
        <v>51</v>
      </c>
    </row>
    <row r="34" spans="1:3" x14ac:dyDescent="0.3">
      <c r="A34" t="s">
        <v>67</v>
      </c>
      <c r="B34">
        <v>1</v>
      </c>
      <c r="C34" t="s">
        <v>86</v>
      </c>
    </row>
    <row r="35" spans="1:3" x14ac:dyDescent="0.3">
      <c r="A35" t="s">
        <v>67</v>
      </c>
      <c r="B35">
        <v>2</v>
      </c>
      <c r="C35" t="s">
        <v>75</v>
      </c>
    </row>
    <row r="36" spans="1:3" x14ac:dyDescent="0.3">
      <c r="A36" t="s">
        <v>67</v>
      </c>
      <c r="B36">
        <v>3</v>
      </c>
      <c r="C36" t="s">
        <v>73</v>
      </c>
    </row>
    <row r="37" spans="1:3" x14ac:dyDescent="0.3">
      <c r="A37" t="s">
        <v>67</v>
      </c>
      <c r="B37">
        <v>4</v>
      </c>
      <c r="C37" t="s">
        <v>70</v>
      </c>
    </row>
    <row r="38" spans="1:3" x14ac:dyDescent="0.3">
      <c r="A38" t="s">
        <v>67</v>
      </c>
      <c r="B38">
        <v>5</v>
      </c>
      <c r="C38" t="s">
        <v>72</v>
      </c>
    </row>
    <row r="39" spans="1:3" x14ac:dyDescent="0.3">
      <c r="A39" t="s">
        <v>67</v>
      </c>
      <c r="B39">
        <v>6</v>
      </c>
      <c r="C39" t="s">
        <v>82</v>
      </c>
    </row>
    <row r="40" spans="1:3" x14ac:dyDescent="0.3">
      <c r="A40" t="s">
        <v>67</v>
      </c>
      <c r="B40">
        <v>7</v>
      </c>
      <c r="C40" t="s">
        <v>77</v>
      </c>
    </row>
    <row r="41" spans="1:3" x14ac:dyDescent="0.3">
      <c r="A41" t="s">
        <v>67</v>
      </c>
      <c r="B41">
        <v>8</v>
      </c>
      <c r="C41" t="s">
        <v>84</v>
      </c>
    </row>
    <row r="42" spans="1:3" x14ac:dyDescent="0.3">
      <c r="A42" t="s">
        <v>67</v>
      </c>
      <c r="B42">
        <v>9</v>
      </c>
      <c r="C42" t="s">
        <v>89</v>
      </c>
    </row>
    <row r="43" spans="1:3" x14ac:dyDescent="0.3">
      <c r="A43" t="s">
        <v>67</v>
      </c>
      <c r="B43">
        <v>10</v>
      </c>
      <c r="C43" t="s">
        <v>83</v>
      </c>
    </row>
    <row r="44" spans="1:3" x14ac:dyDescent="0.3">
      <c r="A44" t="s">
        <v>67</v>
      </c>
      <c r="B44">
        <v>11</v>
      </c>
      <c r="C44" t="s">
        <v>87</v>
      </c>
    </row>
    <row r="45" spans="1:3" x14ac:dyDescent="0.3">
      <c r="A45" t="s">
        <v>67</v>
      </c>
      <c r="B45">
        <v>12</v>
      </c>
      <c r="C45" t="s">
        <v>78</v>
      </c>
    </row>
    <row r="46" spans="1:3" x14ac:dyDescent="0.3">
      <c r="A46" t="s">
        <v>67</v>
      </c>
      <c r="B46">
        <v>13</v>
      </c>
      <c r="C46" t="s">
        <v>81</v>
      </c>
    </row>
    <row r="47" spans="1:3" x14ac:dyDescent="0.3">
      <c r="A47" t="s">
        <v>67</v>
      </c>
      <c r="B47">
        <v>14</v>
      </c>
      <c r="C47" t="s">
        <v>88</v>
      </c>
    </row>
    <row r="48" spans="1:3" x14ac:dyDescent="0.3">
      <c r="A48" t="s">
        <v>67</v>
      </c>
      <c r="B48">
        <v>15</v>
      </c>
      <c r="C48" t="s">
        <v>71</v>
      </c>
    </row>
    <row r="49" spans="1:3" x14ac:dyDescent="0.3">
      <c r="A49" t="s">
        <v>67</v>
      </c>
      <c r="B49">
        <v>16</v>
      </c>
      <c r="C49" t="s">
        <v>76</v>
      </c>
    </row>
    <row r="50" spans="1:3" x14ac:dyDescent="0.3">
      <c r="A50" t="s">
        <v>90</v>
      </c>
      <c r="B50">
        <v>1</v>
      </c>
      <c r="C50" t="s">
        <v>99</v>
      </c>
    </row>
    <row r="51" spans="1:3" x14ac:dyDescent="0.3">
      <c r="A51" t="s">
        <v>90</v>
      </c>
      <c r="B51">
        <v>2</v>
      </c>
      <c r="C51" t="s">
        <v>95</v>
      </c>
    </row>
    <row r="52" spans="1:3" x14ac:dyDescent="0.3">
      <c r="A52" t="s">
        <v>90</v>
      </c>
      <c r="B52">
        <v>3</v>
      </c>
      <c r="C52" t="s">
        <v>104</v>
      </c>
    </row>
    <row r="53" spans="1:3" x14ac:dyDescent="0.3">
      <c r="A53" t="s">
        <v>90</v>
      </c>
      <c r="B53">
        <v>4</v>
      </c>
      <c r="C53" t="s">
        <v>107</v>
      </c>
    </row>
    <row r="54" spans="1:3" x14ac:dyDescent="0.3">
      <c r="A54" t="s">
        <v>90</v>
      </c>
      <c r="B54">
        <v>5</v>
      </c>
      <c r="C54" t="s">
        <v>112</v>
      </c>
    </row>
    <row r="55" spans="1:3" x14ac:dyDescent="0.3">
      <c r="A55" t="s">
        <v>90</v>
      </c>
      <c r="B55">
        <v>6</v>
      </c>
      <c r="C55" t="s">
        <v>93</v>
      </c>
    </row>
    <row r="56" spans="1:3" x14ac:dyDescent="0.3">
      <c r="A56" t="s">
        <v>90</v>
      </c>
      <c r="B56">
        <v>7</v>
      </c>
      <c r="C56" t="s">
        <v>111</v>
      </c>
    </row>
    <row r="57" spans="1:3" x14ac:dyDescent="0.3">
      <c r="A57" t="s">
        <v>90</v>
      </c>
      <c r="B57">
        <v>8</v>
      </c>
      <c r="C57" t="s">
        <v>98</v>
      </c>
    </row>
    <row r="58" spans="1:3" x14ac:dyDescent="0.3">
      <c r="A58" t="s">
        <v>90</v>
      </c>
      <c r="B58">
        <v>9</v>
      </c>
      <c r="C58" t="s">
        <v>113</v>
      </c>
    </row>
    <row r="59" spans="1:3" x14ac:dyDescent="0.3">
      <c r="A59" t="s">
        <v>90</v>
      </c>
      <c r="B59">
        <v>10</v>
      </c>
      <c r="C59" t="s">
        <v>100</v>
      </c>
    </row>
    <row r="60" spans="1:3" x14ac:dyDescent="0.3">
      <c r="A60" t="s">
        <v>90</v>
      </c>
      <c r="B60">
        <v>11</v>
      </c>
      <c r="C60" t="s">
        <v>96</v>
      </c>
    </row>
    <row r="61" spans="1:3" x14ac:dyDescent="0.3">
      <c r="A61" t="s">
        <v>90</v>
      </c>
      <c r="B61">
        <v>12</v>
      </c>
      <c r="C61" t="s">
        <v>101</v>
      </c>
    </row>
    <row r="62" spans="1:3" x14ac:dyDescent="0.3">
      <c r="A62" t="s">
        <v>90</v>
      </c>
      <c r="B62">
        <v>13</v>
      </c>
      <c r="C62" t="s">
        <v>94</v>
      </c>
    </row>
    <row r="63" spans="1:3" x14ac:dyDescent="0.3">
      <c r="A63" t="s">
        <v>90</v>
      </c>
      <c r="B63">
        <v>14</v>
      </c>
      <c r="C63" t="s">
        <v>105</v>
      </c>
    </row>
    <row r="64" spans="1:3" x14ac:dyDescent="0.3">
      <c r="A64" t="s">
        <v>90</v>
      </c>
      <c r="B64">
        <v>15</v>
      </c>
      <c r="C64" t="s">
        <v>110</v>
      </c>
    </row>
    <row r="65" spans="1:3" x14ac:dyDescent="0.3">
      <c r="A65" t="s">
        <v>90</v>
      </c>
      <c r="B65">
        <v>16</v>
      </c>
      <c r="C65" t="s">
        <v>106</v>
      </c>
    </row>
    <row r="66" spans="1:3" x14ac:dyDescent="0.3">
      <c r="A66" t="s">
        <v>115</v>
      </c>
      <c r="B66">
        <v>1</v>
      </c>
      <c r="C66" t="s">
        <v>121</v>
      </c>
    </row>
    <row r="67" spans="1:3" x14ac:dyDescent="0.3">
      <c r="A67" t="s">
        <v>115</v>
      </c>
      <c r="B67">
        <v>2</v>
      </c>
      <c r="C67" t="s">
        <v>136</v>
      </c>
    </row>
    <row r="68" spans="1:3" x14ac:dyDescent="0.3">
      <c r="A68" t="s">
        <v>115</v>
      </c>
      <c r="B68">
        <v>3</v>
      </c>
      <c r="C68" t="s">
        <v>128</v>
      </c>
    </row>
    <row r="69" spans="1:3" x14ac:dyDescent="0.3">
      <c r="A69" t="s">
        <v>115</v>
      </c>
      <c r="B69">
        <v>4</v>
      </c>
      <c r="C69" t="s">
        <v>131</v>
      </c>
    </row>
    <row r="70" spans="1:3" x14ac:dyDescent="0.3">
      <c r="A70" t="s">
        <v>115</v>
      </c>
      <c r="B70">
        <v>5</v>
      </c>
      <c r="C70" t="s">
        <v>118</v>
      </c>
    </row>
    <row r="71" spans="1:3" x14ac:dyDescent="0.3">
      <c r="A71" t="s">
        <v>115</v>
      </c>
      <c r="B71">
        <v>6</v>
      </c>
      <c r="C71" t="s">
        <v>123</v>
      </c>
    </row>
    <row r="72" spans="1:3" x14ac:dyDescent="0.3">
      <c r="A72" t="s">
        <v>115</v>
      </c>
      <c r="B72">
        <v>7</v>
      </c>
      <c r="C72" t="s">
        <v>133</v>
      </c>
    </row>
    <row r="73" spans="1:3" x14ac:dyDescent="0.3">
      <c r="A73" t="s">
        <v>115</v>
      </c>
      <c r="B73">
        <v>8</v>
      </c>
      <c r="C73" t="s">
        <v>120</v>
      </c>
    </row>
    <row r="74" spans="1:3" x14ac:dyDescent="0.3">
      <c r="A74" t="s">
        <v>115</v>
      </c>
      <c r="B74">
        <v>9</v>
      </c>
      <c r="C74" t="s">
        <v>119</v>
      </c>
    </row>
    <row r="75" spans="1:3" x14ac:dyDescent="0.3">
      <c r="A75" t="s">
        <v>115</v>
      </c>
      <c r="B75">
        <v>10</v>
      </c>
      <c r="C75" t="s">
        <v>125</v>
      </c>
    </row>
    <row r="76" spans="1:3" x14ac:dyDescent="0.3">
      <c r="A76" t="s">
        <v>115</v>
      </c>
      <c r="B76">
        <v>11</v>
      </c>
      <c r="C76" t="s">
        <v>135</v>
      </c>
    </row>
    <row r="77" spans="1:3" x14ac:dyDescent="0.3">
      <c r="A77" t="s">
        <v>115</v>
      </c>
      <c r="B77">
        <v>12</v>
      </c>
      <c r="C77" t="s">
        <v>130</v>
      </c>
    </row>
    <row r="78" spans="1:3" x14ac:dyDescent="0.3">
      <c r="A78" t="s">
        <v>115</v>
      </c>
      <c r="B78">
        <v>13</v>
      </c>
      <c r="C78" t="s">
        <v>134</v>
      </c>
    </row>
    <row r="79" spans="1:3" x14ac:dyDescent="0.3">
      <c r="A79" t="s">
        <v>115</v>
      </c>
      <c r="B79">
        <v>14</v>
      </c>
      <c r="C79" t="s">
        <v>126</v>
      </c>
    </row>
    <row r="80" spans="1:3" x14ac:dyDescent="0.3">
      <c r="A80" t="s">
        <v>115</v>
      </c>
      <c r="B80">
        <v>15</v>
      </c>
      <c r="C80" t="s">
        <v>129</v>
      </c>
    </row>
    <row r="81" spans="1:3" x14ac:dyDescent="0.3">
      <c r="A81" t="s">
        <v>115</v>
      </c>
      <c r="B81">
        <v>16</v>
      </c>
      <c r="C81" t="s">
        <v>124</v>
      </c>
    </row>
    <row r="82" spans="1:3" x14ac:dyDescent="0.3">
      <c r="A82" t="s">
        <v>137</v>
      </c>
      <c r="B82">
        <v>1</v>
      </c>
      <c r="C82" t="s">
        <v>157</v>
      </c>
    </row>
    <row r="83" spans="1:3" x14ac:dyDescent="0.3">
      <c r="A83" t="s">
        <v>137</v>
      </c>
      <c r="B83">
        <v>2</v>
      </c>
      <c r="C83" t="s">
        <v>152</v>
      </c>
    </row>
    <row r="84" spans="1:3" x14ac:dyDescent="0.3">
      <c r="A84" t="s">
        <v>137</v>
      </c>
      <c r="B84">
        <v>3</v>
      </c>
      <c r="C84" t="s">
        <v>143</v>
      </c>
    </row>
    <row r="85" spans="1:3" x14ac:dyDescent="0.3">
      <c r="A85" t="s">
        <v>137</v>
      </c>
      <c r="B85">
        <v>4</v>
      </c>
      <c r="C85" t="s">
        <v>151</v>
      </c>
    </row>
    <row r="86" spans="1:3" x14ac:dyDescent="0.3">
      <c r="A86" t="s">
        <v>137</v>
      </c>
      <c r="B86">
        <v>5</v>
      </c>
      <c r="C86" t="s">
        <v>155</v>
      </c>
    </row>
    <row r="87" spans="1:3" x14ac:dyDescent="0.3">
      <c r="A87" t="s">
        <v>137</v>
      </c>
      <c r="B87">
        <v>6</v>
      </c>
      <c r="C87" t="s">
        <v>153</v>
      </c>
    </row>
    <row r="88" spans="1:3" x14ac:dyDescent="0.3">
      <c r="A88" t="s">
        <v>137</v>
      </c>
      <c r="B88">
        <v>7</v>
      </c>
      <c r="C88" t="s">
        <v>142</v>
      </c>
    </row>
    <row r="89" spans="1:3" x14ac:dyDescent="0.3">
      <c r="A89" t="s">
        <v>137</v>
      </c>
      <c r="B89">
        <v>8</v>
      </c>
      <c r="C89" t="s">
        <v>158</v>
      </c>
    </row>
    <row r="90" spans="1:3" x14ac:dyDescent="0.3">
      <c r="A90" t="s">
        <v>137</v>
      </c>
      <c r="B90">
        <v>9</v>
      </c>
      <c r="C90" t="s">
        <v>146</v>
      </c>
    </row>
    <row r="91" spans="1:3" x14ac:dyDescent="0.3">
      <c r="A91" t="s">
        <v>137</v>
      </c>
      <c r="B91">
        <v>10</v>
      </c>
      <c r="C91" t="s">
        <v>150</v>
      </c>
    </row>
    <row r="92" spans="1:3" x14ac:dyDescent="0.3">
      <c r="A92" t="s">
        <v>137</v>
      </c>
      <c r="B92">
        <v>11</v>
      </c>
      <c r="C92" t="s">
        <v>140</v>
      </c>
    </row>
    <row r="93" spans="1:3" x14ac:dyDescent="0.3">
      <c r="A93" t="s">
        <v>137</v>
      </c>
      <c r="B93">
        <v>12</v>
      </c>
      <c r="C93" t="s">
        <v>148</v>
      </c>
    </row>
    <row r="94" spans="1:3" x14ac:dyDescent="0.3">
      <c r="A94" t="s">
        <v>137</v>
      </c>
      <c r="B94">
        <v>13</v>
      </c>
      <c r="C94" t="s">
        <v>147</v>
      </c>
    </row>
    <row r="95" spans="1:3" x14ac:dyDescent="0.3">
      <c r="A95" t="s">
        <v>137</v>
      </c>
      <c r="B95">
        <v>14</v>
      </c>
      <c r="C95" t="s">
        <v>141</v>
      </c>
    </row>
    <row r="96" spans="1:3" x14ac:dyDescent="0.3">
      <c r="A96" t="s">
        <v>137</v>
      </c>
      <c r="B96">
        <v>15</v>
      </c>
      <c r="C96" t="s">
        <v>145</v>
      </c>
    </row>
    <row r="97" spans="1:3" x14ac:dyDescent="0.3">
      <c r="A97" t="s">
        <v>137</v>
      </c>
      <c r="B97">
        <v>16</v>
      </c>
      <c r="C97" t="s">
        <v>156</v>
      </c>
    </row>
    <row r="98" spans="1:3" x14ac:dyDescent="0.3">
      <c r="A98" t="s">
        <v>159</v>
      </c>
      <c r="B98">
        <v>1</v>
      </c>
      <c r="C98" t="s">
        <v>169</v>
      </c>
    </row>
    <row r="99" spans="1:3" x14ac:dyDescent="0.3">
      <c r="A99" t="s">
        <v>159</v>
      </c>
      <c r="B99">
        <v>2</v>
      </c>
      <c r="C99" t="s">
        <v>167</v>
      </c>
    </row>
    <row r="100" spans="1:3" x14ac:dyDescent="0.3">
      <c r="A100" t="s">
        <v>159</v>
      </c>
      <c r="B100">
        <v>3</v>
      </c>
      <c r="C100" t="s">
        <v>165</v>
      </c>
    </row>
    <row r="101" spans="1:3" x14ac:dyDescent="0.3">
      <c r="A101" t="s">
        <v>159</v>
      </c>
      <c r="B101">
        <v>4</v>
      </c>
      <c r="C101" t="s">
        <v>179</v>
      </c>
    </row>
    <row r="102" spans="1:3" x14ac:dyDescent="0.3">
      <c r="A102" t="s">
        <v>159</v>
      </c>
      <c r="B102">
        <v>5</v>
      </c>
      <c r="C102" t="s">
        <v>163</v>
      </c>
    </row>
    <row r="103" spans="1:3" x14ac:dyDescent="0.3">
      <c r="A103" t="s">
        <v>159</v>
      </c>
      <c r="B103">
        <v>6</v>
      </c>
      <c r="C103" t="s">
        <v>172</v>
      </c>
    </row>
    <row r="104" spans="1:3" x14ac:dyDescent="0.3">
      <c r="A104" t="s">
        <v>159</v>
      </c>
      <c r="B104">
        <v>7</v>
      </c>
      <c r="C104" t="s">
        <v>175</v>
      </c>
    </row>
    <row r="105" spans="1:3" x14ac:dyDescent="0.3">
      <c r="A105" t="s">
        <v>159</v>
      </c>
      <c r="B105">
        <v>8</v>
      </c>
      <c r="C105" t="s">
        <v>168</v>
      </c>
    </row>
    <row r="106" spans="1:3" x14ac:dyDescent="0.3">
      <c r="A106" t="s">
        <v>159</v>
      </c>
      <c r="B106">
        <v>9</v>
      </c>
      <c r="C106" t="s">
        <v>181</v>
      </c>
    </row>
    <row r="107" spans="1:3" x14ac:dyDescent="0.3">
      <c r="A107" t="s">
        <v>159</v>
      </c>
      <c r="B107">
        <v>10</v>
      </c>
      <c r="C107" t="s">
        <v>173</v>
      </c>
    </row>
    <row r="108" spans="1:3" x14ac:dyDescent="0.3">
      <c r="A108" t="s">
        <v>159</v>
      </c>
      <c r="B108">
        <v>11</v>
      </c>
      <c r="C108" t="s">
        <v>164</v>
      </c>
    </row>
    <row r="109" spans="1:3" x14ac:dyDescent="0.3">
      <c r="A109" t="s">
        <v>159</v>
      </c>
      <c r="B109">
        <v>12</v>
      </c>
      <c r="C109" t="s">
        <v>170</v>
      </c>
    </row>
    <row r="110" spans="1:3" x14ac:dyDescent="0.3">
      <c r="A110" t="s">
        <v>159</v>
      </c>
      <c r="B110">
        <v>13</v>
      </c>
      <c r="C110" t="s">
        <v>180</v>
      </c>
    </row>
    <row r="111" spans="1:3" x14ac:dyDescent="0.3">
      <c r="A111" t="s">
        <v>159</v>
      </c>
      <c r="B111">
        <v>14</v>
      </c>
      <c r="C111" t="s">
        <v>162</v>
      </c>
    </row>
    <row r="112" spans="1:3" x14ac:dyDescent="0.3">
      <c r="A112" t="s">
        <v>159</v>
      </c>
      <c r="B112">
        <v>15</v>
      </c>
      <c r="C112" t="s">
        <v>174</v>
      </c>
    </row>
    <row r="113" spans="1:3" x14ac:dyDescent="0.3">
      <c r="A113" t="s">
        <v>159</v>
      </c>
      <c r="B113">
        <v>16</v>
      </c>
      <c r="C113" t="s">
        <v>178</v>
      </c>
    </row>
    <row r="114" spans="1:3" x14ac:dyDescent="0.3">
      <c r="A114" t="s">
        <v>182</v>
      </c>
      <c r="B114">
        <v>1</v>
      </c>
      <c r="C114" t="s">
        <v>185</v>
      </c>
    </row>
    <row r="115" spans="1:3" x14ac:dyDescent="0.3">
      <c r="A115" t="s">
        <v>182</v>
      </c>
      <c r="B115">
        <v>2</v>
      </c>
      <c r="C115" t="s">
        <v>193</v>
      </c>
    </row>
    <row r="116" spans="1:3" x14ac:dyDescent="0.3">
      <c r="A116" t="s">
        <v>182</v>
      </c>
      <c r="B116">
        <v>3</v>
      </c>
      <c r="C116" t="s">
        <v>202</v>
      </c>
    </row>
    <row r="117" spans="1:3" x14ac:dyDescent="0.3">
      <c r="A117" t="s">
        <v>182</v>
      </c>
      <c r="B117">
        <v>4</v>
      </c>
      <c r="C117" t="s">
        <v>198</v>
      </c>
    </row>
    <row r="118" spans="1:3" x14ac:dyDescent="0.3">
      <c r="A118" t="s">
        <v>182</v>
      </c>
      <c r="B118">
        <v>5</v>
      </c>
      <c r="C118" t="s">
        <v>187</v>
      </c>
    </row>
    <row r="119" spans="1:3" x14ac:dyDescent="0.3">
      <c r="A119" t="s">
        <v>182</v>
      </c>
      <c r="B119">
        <v>6</v>
      </c>
      <c r="C119" t="s">
        <v>190</v>
      </c>
    </row>
    <row r="120" spans="1:3" x14ac:dyDescent="0.3">
      <c r="A120" t="s">
        <v>182</v>
      </c>
      <c r="B120">
        <v>7</v>
      </c>
      <c r="C120" t="s">
        <v>196</v>
      </c>
    </row>
    <row r="121" spans="1:3" x14ac:dyDescent="0.3">
      <c r="A121" t="s">
        <v>182</v>
      </c>
      <c r="B121">
        <v>8</v>
      </c>
      <c r="C121" t="s">
        <v>140</v>
      </c>
    </row>
    <row r="122" spans="1:3" x14ac:dyDescent="0.3">
      <c r="A122" t="s">
        <v>182</v>
      </c>
      <c r="B122">
        <v>9</v>
      </c>
      <c r="C122" t="s">
        <v>192</v>
      </c>
    </row>
    <row r="123" spans="1:3" x14ac:dyDescent="0.3">
      <c r="A123" t="s">
        <v>182</v>
      </c>
      <c r="B123">
        <v>10</v>
      </c>
      <c r="C123" t="s">
        <v>191</v>
      </c>
    </row>
    <row r="124" spans="1:3" x14ac:dyDescent="0.3">
      <c r="A124" t="s">
        <v>182</v>
      </c>
      <c r="B124">
        <v>11</v>
      </c>
      <c r="C124" t="s">
        <v>186</v>
      </c>
    </row>
    <row r="125" spans="1:3" x14ac:dyDescent="0.3">
      <c r="A125" t="s">
        <v>182</v>
      </c>
      <c r="B125">
        <v>12</v>
      </c>
      <c r="C125" t="s">
        <v>197</v>
      </c>
    </row>
    <row r="126" spans="1:3" x14ac:dyDescent="0.3">
      <c r="A126" t="s">
        <v>182</v>
      </c>
      <c r="B126">
        <v>13</v>
      </c>
      <c r="C126" t="s">
        <v>195</v>
      </c>
    </row>
    <row r="127" spans="1:3" x14ac:dyDescent="0.3">
      <c r="A127" t="s">
        <v>182</v>
      </c>
      <c r="B127">
        <v>14</v>
      </c>
      <c r="C127" t="s">
        <v>200</v>
      </c>
    </row>
    <row r="128" spans="1:3" x14ac:dyDescent="0.3">
      <c r="A128" t="s">
        <v>182</v>
      </c>
      <c r="B128">
        <v>15</v>
      </c>
      <c r="C128" t="s">
        <v>188</v>
      </c>
    </row>
    <row r="129" spans="1:3" x14ac:dyDescent="0.3">
      <c r="A129" t="s">
        <v>182</v>
      </c>
      <c r="B129">
        <v>16</v>
      </c>
      <c r="C129" t="s">
        <v>201</v>
      </c>
    </row>
    <row r="130" spans="1:3" x14ac:dyDescent="0.3">
      <c r="A130" t="s">
        <v>203</v>
      </c>
      <c r="B130">
        <v>1</v>
      </c>
      <c r="C130" t="s">
        <v>224</v>
      </c>
    </row>
    <row r="131" spans="1:3" x14ac:dyDescent="0.3">
      <c r="A131" t="s">
        <v>203</v>
      </c>
      <c r="B131">
        <v>2</v>
      </c>
      <c r="C131" t="s">
        <v>216</v>
      </c>
    </row>
    <row r="132" spans="1:3" x14ac:dyDescent="0.3">
      <c r="A132" t="s">
        <v>203</v>
      </c>
      <c r="B132">
        <v>3</v>
      </c>
      <c r="C132" t="s">
        <v>208</v>
      </c>
    </row>
    <row r="133" spans="1:3" x14ac:dyDescent="0.3">
      <c r="A133" t="s">
        <v>203</v>
      </c>
      <c r="B133">
        <v>4</v>
      </c>
      <c r="C133" t="s">
        <v>209</v>
      </c>
    </row>
    <row r="134" spans="1:3" x14ac:dyDescent="0.3">
      <c r="A134" t="s">
        <v>203</v>
      </c>
      <c r="B134">
        <v>5</v>
      </c>
      <c r="C134" t="s">
        <v>206</v>
      </c>
    </row>
    <row r="135" spans="1:3" x14ac:dyDescent="0.3">
      <c r="A135" t="s">
        <v>203</v>
      </c>
      <c r="B135">
        <v>6</v>
      </c>
      <c r="C135" t="s">
        <v>212</v>
      </c>
    </row>
    <row r="136" spans="1:3" x14ac:dyDescent="0.3">
      <c r="A136" t="s">
        <v>203</v>
      </c>
      <c r="B136">
        <v>7</v>
      </c>
      <c r="C136" t="s">
        <v>217</v>
      </c>
    </row>
    <row r="137" spans="1:3" x14ac:dyDescent="0.3">
      <c r="A137" t="s">
        <v>203</v>
      </c>
      <c r="B137">
        <v>8</v>
      </c>
      <c r="C137" t="s">
        <v>222</v>
      </c>
    </row>
    <row r="138" spans="1:3" x14ac:dyDescent="0.3">
      <c r="A138" t="s">
        <v>203</v>
      </c>
      <c r="B138">
        <v>9</v>
      </c>
      <c r="C138" t="s">
        <v>211</v>
      </c>
    </row>
    <row r="139" spans="1:3" x14ac:dyDescent="0.3">
      <c r="A139" t="s">
        <v>203</v>
      </c>
      <c r="B139">
        <v>10</v>
      </c>
      <c r="C139" t="s">
        <v>221</v>
      </c>
    </row>
    <row r="140" spans="1:3" x14ac:dyDescent="0.3">
      <c r="A140" t="s">
        <v>203</v>
      </c>
      <c r="B140">
        <v>11</v>
      </c>
      <c r="C140" t="s">
        <v>218</v>
      </c>
    </row>
    <row r="141" spans="1:3" x14ac:dyDescent="0.3">
      <c r="A141" t="s">
        <v>203</v>
      </c>
      <c r="B141">
        <v>12</v>
      </c>
      <c r="C141" t="s">
        <v>214</v>
      </c>
    </row>
    <row r="142" spans="1:3" x14ac:dyDescent="0.3">
      <c r="A142" t="s">
        <v>203</v>
      </c>
      <c r="B142">
        <v>13</v>
      </c>
      <c r="C142" t="s">
        <v>219</v>
      </c>
    </row>
    <row r="143" spans="1:3" x14ac:dyDescent="0.3">
      <c r="A143" t="s">
        <v>203</v>
      </c>
      <c r="B143">
        <v>14</v>
      </c>
      <c r="C143" t="s">
        <v>223</v>
      </c>
    </row>
    <row r="144" spans="1:3" x14ac:dyDescent="0.3">
      <c r="A144" t="s">
        <v>203</v>
      </c>
      <c r="B144">
        <v>15</v>
      </c>
      <c r="C144" t="s">
        <v>207</v>
      </c>
    </row>
    <row r="145" spans="1:3" x14ac:dyDescent="0.3">
      <c r="A145" t="s">
        <v>203</v>
      </c>
      <c r="B145">
        <v>16</v>
      </c>
      <c r="C145" t="s">
        <v>213</v>
      </c>
    </row>
    <row r="146" spans="1:3" x14ac:dyDescent="0.3">
      <c r="A146" t="s">
        <v>225</v>
      </c>
      <c r="B146">
        <v>1</v>
      </c>
      <c r="C146" t="s">
        <v>247</v>
      </c>
    </row>
    <row r="147" spans="1:3" x14ac:dyDescent="0.3">
      <c r="A147" t="s">
        <v>225</v>
      </c>
      <c r="B147">
        <v>2</v>
      </c>
      <c r="C147" t="s">
        <v>246</v>
      </c>
    </row>
    <row r="148" spans="1:3" x14ac:dyDescent="0.3">
      <c r="A148" t="s">
        <v>225</v>
      </c>
      <c r="B148">
        <v>3</v>
      </c>
      <c r="C148" t="s">
        <v>239</v>
      </c>
    </row>
    <row r="149" spans="1:3" x14ac:dyDescent="0.3">
      <c r="A149" t="s">
        <v>225</v>
      </c>
      <c r="B149">
        <v>4</v>
      </c>
      <c r="C149" t="s">
        <v>234</v>
      </c>
    </row>
    <row r="150" spans="1:3" x14ac:dyDescent="0.3">
      <c r="A150" t="s">
        <v>225</v>
      </c>
      <c r="B150">
        <v>5</v>
      </c>
      <c r="C150" t="s">
        <v>238</v>
      </c>
    </row>
    <row r="151" spans="1:3" x14ac:dyDescent="0.3">
      <c r="A151" t="s">
        <v>225</v>
      </c>
      <c r="B151">
        <v>6</v>
      </c>
      <c r="C151" t="s">
        <v>233</v>
      </c>
    </row>
    <row r="152" spans="1:3" x14ac:dyDescent="0.3">
      <c r="A152" t="s">
        <v>225</v>
      </c>
      <c r="B152">
        <v>7</v>
      </c>
      <c r="C152" t="s">
        <v>229</v>
      </c>
    </row>
    <row r="153" spans="1:3" x14ac:dyDescent="0.3">
      <c r="A153" t="s">
        <v>225</v>
      </c>
      <c r="B153">
        <v>8</v>
      </c>
      <c r="C153" t="s">
        <v>231</v>
      </c>
    </row>
    <row r="154" spans="1:3" x14ac:dyDescent="0.3">
      <c r="A154" t="s">
        <v>225</v>
      </c>
      <c r="B154">
        <v>9</v>
      </c>
      <c r="C154" t="s">
        <v>241</v>
      </c>
    </row>
    <row r="155" spans="1:3" x14ac:dyDescent="0.3">
      <c r="A155" t="s">
        <v>225</v>
      </c>
      <c r="B155">
        <v>10</v>
      </c>
      <c r="C155" t="s">
        <v>230</v>
      </c>
    </row>
    <row r="156" spans="1:3" x14ac:dyDescent="0.3">
      <c r="A156" t="s">
        <v>225</v>
      </c>
      <c r="B156">
        <v>11</v>
      </c>
      <c r="C156" t="s">
        <v>228</v>
      </c>
    </row>
    <row r="157" spans="1:3" x14ac:dyDescent="0.3">
      <c r="A157" t="s">
        <v>225</v>
      </c>
      <c r="B157">
        <v>12</v>
      </c>
      <c r="C157" t="s">
        <v>245</v>
      </c>
    </row>
    <row r="158" spans="1:3" x14ac:dyDescent="0.3">
      <c r="A158" t="s">
        <v>225</v>
      </c>
      <c r="B158">
        <v>13</v>
      </c>
      <c r="C158" t="s">
        <v>236</v>
      </c>
    </row>
    <row r="159" spans="1:3" x14ac:dyDescent="0.3">
      <c r="A159" t="s">
        <v>225</v>
      </c>
      <c r="B159">
        <v>14</v>
      </c>
      <c r="C159" t="s">
        <v>244</v>
      </c>
    </row>
    <row r="160" spans="1:3" x14ac:dyDescent="0.3">
      <c r="A160" t="s">
        <v>225</v>
      </c>
      <c r="B160">
        <v>15</v>
      </c>
      <c r="C160" t="s">
        <v>235</v>
      </c>
    </row>
    <row r="161" spans="1:3" x14ac:dyDescent="0.3">
      <c r="A161" t="s">
        <v>225</v>
      </c>
      <c r="B161">
        <v>16</v>
      </c>
      <c r="C161" t="s">
        <v>240</v>
      </c>
    </row>
    <row r="162" spans="1:3" x14ac:dyDescent="0.3">
      <c r="A162" t="s">
        <v>248</v>
      </c>
      <c r="B162">
        <v>1</v>
      </c>
      <c r="C162" t="s">
        <v>263</v>
      </c>
    </row>
    <row r="163" spans="1:3" x14ac:dyDescent="0.3">
      <c r="A163" t="s">
        <v>248</v>
      </c>
      <c r="B163">
        <v>2</v>
      </c>
      <c r="C163" t="s">
        <v>252</v>
      </c>
    </row>
    <row r="164" spans="1:3" x14ac:dyDescent="0.3">
      <c r="A164" t="s">
        <v>248</v>
      </c>
      <c r="B164">
        <v>3</v>
      </c>
      <c r="C164" t="s">
        <v>266</v>
      </c>
    </row>
    <row r="165" spans="1:3" x14ac:dyDescent="0.3">
      <c r="A165" t="s">
        <v>248</v>
      </c>
      <c r="B165">
        <v>4</v>
      </c>
      <c r="C165" t="s">
        <v>262</v>
      </c>
    </row>
    <row r="166" spans="1:3" x14ac:dyDescent="0.3">
      <c r="A166" t="s">
        <v>248</v>
      </c>
      <c r="B166">
        <v>5</v>
      </c>
      <c r="C166" t="s">
        <v>251</v>
      </c>
    </row>
    <row r="167" spans="1:3" x14ac:dyDescent="0.3">
      <c r="A167" t="s">
        <v>248</v>
      </c>
      <c r="B167">
        <v>6</v>
      </c>
      <c r="C167" t="s">
        <v>261</v>
      </c>
    </row>
    <row r="168" spans="1:3" x14ac:dyDescent="0.3">
      <c r="A168" t="s">
        <v>248</v>
      </c>
      <c r="B168">
        <v>7</v>
      </c>
      <c r="C168" t="s">
        <v>258</v>
      </c>
    </row>
    <row r="169" spans="1:3" x14ac:dyDescent="0.3">
      <c r="A169" t="s">
        <v>248</v>
      </c>
      <c r="B169">
        <v>8</v>
      </c>
      <c r="C169" t="s">
        <v>267</v>
      </c>
    </row>
    <row r="170" spans="1:3" x14ac:dyDescent="0.3">
      <c r="A170" t="s">
        <v>248</v>
      </c>
      <c r="B170">
        <v>9</v>
      </c>
      <c r="C170" t="s">
        <v>256</v>
      </c>
    </row>
    <row r="171" spans="1:3" x14ac:dyDescent="0.3">
      <c r="A171" t="s">
        <v>248</v>
      </c>
      <c r="B171">
        <v>10</v>
      </c>
      <c r="C171" t="s">
        <v>254</v>
      </c>
    </row>
    <row r="172" spans="1:3" x14ac:dyDescent="0.3">
      <c r="A172" t="s">
        <v>248</v>
      </c>
      <c r="B172">
        <v>11</v>
      </c>
      <c r="C172" t="s">
        <v>257</v>
      </c>
    </row>
    <row r="173" spans="1:3" x14ac:dyDescent="0.3">
      <c r="A173" t="s">
        <v>248</v>
      </c>
      <c r="B173">
        <v>12</v>
      </c>
      <c r="C173" t="s">
        <v>253</v>
      </c>
    </row>
    <row r="174" spans="1:3" x14ac:dyDescent="0.3">
      <c r="A174" t="s">
        <v>248</v>
      </c>
      <c r="B174">
        <v>13</v>
      </c>
      <c r="C174" t="s">
        <v>264</v>
      </c>
    </row>
    <row r="175" spans="1:3" x14ac:dyDescent="0.3">
      <c r="A175" t="s">
        <v>248</v>
      </c>
      <c r="B175">
        <v>14</v>
      </c>
      <c r="C175" t="s">
        <v>269</v>
      </c>
    </row>
    <row r="176" spans="1:3" x14ac:dyDescent="0.3">
      <c r="A176" t="s">
        <v>248</v>
      </c>
      <c r="B176">
        <v>15</v>
      </c>
      <c r="C176" t="s">
        <v>268</v>
      </c>
    </row>
    <row r="177" spans="1:3" x14ac:dyDescent="0.3">
      <c r="A177" t="s">
        <v>248</v>
      </c>
      <c r="B177">
        <v>16</v>
      </c>
      <c r="C177" t="s">
        <v>259</v>
      </c>
    </row>
    <row r="178" spans="1:3" x14ac:dyDescent="0.3">
      <c r="A178" t="s">
        <v>271</v>
      </c>
      <c r="B178">
        <v>1</v>
      </c>
      <c r="C178" t="s">
        <v>279</v>
      </c>
    </row>
    <row r="179" spans="1:3" x14ac:dyDescent="0.3">
      <c r="A179" t="s">
        <v>271</v>
      </c>
      <c r="B179">
        <v>2</v>
      </c>
      <c r="C179" t="s">
        <v>288</v>
      </c>
    </row>
    <row r="180" spans="1:3" x14ac:dyDescent="0.3">
      <c r="A180" t="s">
        <v>271</v>
      </c>
      <c r="B180">
        <v>3</v>
      </c>
      <c r="C180" t="s">
        <v>289</v>
      </c>
    </row>
    <row r="181" spans="1:3" x14ac:dyDescent="0.3">
      <c r="A181" t="s">
        <v>271</v>
      </c>
      <c r="B181">
        <v>4</v>
      </c>
      <c r="C181" t="s">
        <v>286</v>
      </c>
    </row>
    <row r="182" spans="1:3" x14ac:dyDescent="0.3">
      <c r="A182" t="s">
        <v>271</v>
      </c>
      <c r="B182">
        <v>5</v>
      </c>
      <c r="C182" t="s">
        <v>296</v>
      </c>
    </row>
    <row r="183" spans="1:3" x14ac:dyDescent="0.3">
      <c r="A183" t="s">
        <v>271</v>
      </c>
      <c r="B183">
        <v>6</v>
      </c>
      <c r="C183" t="s">
        <v>287</v>
      </c>
    </row>
    <row r="184" spans="1:3" x14ac:dyDescent="0.3">
      <c r="A184" t="s">
        <v>271</v>
      </c>
      <c r="B184">
        <v>7</v>
      </c>
      <c r="C184" t="s">
        <v>276</v>
      </c>
    </row>
    <row r="185" spans="1:3" x14ac:dyDescent="0.3">
      <c r="A185" t="s">
        <v>271</v>
      </c>
      <c r="B185">
        <v>8</v>
      </c>
      <c r="C185" t="s">
        <v>281</v>
      </c>
    </row>
    <row r="186" spans="1:3" x14ac:dyDescent="0.3">
      <c r="A186" t="s">
        <v>271</v>
      </c>
      <c r="B186">
        <v>9</v>
      </c>
      <c r="C186" t="s">
        <v>295</v>
      </c>
    </row>
    <row r="187" spans="1:3" x14ac:dyDescent="0.3">
      <c r="A187" t="s">
        <v>271</v>
      </c>
      <c r="B187">
        <v>10</v>
      </c>
      <c r="C187" t="s">
        <v>294</v>
      </c>
    </row>
    <row r="188" spans="1:3" x14ac:dyDescent="0.3">
      <c r="A188" t="s">
        <v>271</v>
      </c>
      <c r="B188">
        <v>11</v>
      </c>
      <c r="C188" t="s">
        <v>280</v>
      </c>
    </row>
    <row r="189" spans="1:3" x14ac:dyDescent="0.3">
      <c r="A189" t="s">
        <v>271</v>
      </c>
      <c r="B189">
        <v>12</v>
      </c>
      <c r="C189" t="s">
        <v>282</v>
      </c>
    </row>
    <row r="190" spans="1:3" x14ac:dyDescent="0.3">
      <c r="A190" t="s">
        <v>271</v>
      </c>
      <c r="B190">
        <v>13</v>
      </c>
      <c r="C190" t="s">
        <v>277</v>
      </c>
    </row>
    <row r="191" spans="1:3" x14ac:dyDescent="0.3">
      <c r="A191" t="s">
        <v>271</v>
      </c>
      <c r="B191">
        <v>14</v>
      </c>
      <c r="C191" t="s">
        <v>293</v>
      </c>
    </row>
    <row r="192" spans="1:3" x14ac:dyDescent="0.3">
      <c r="A192" t="s">
        <v>271</v>
      </c>
      <c r="B192">
        <v>15</v>
      </c>
      <c r="C192" t="s">
        <v>275</v>
      </c>
    </row>
    <row r="193" spans="1:3" x14ac:dyDescent="0.3">
      <c r="A193" t="s">
        <v>271</v>
      </c>
      <c r="B193">
        <v>16</v>
      </c>
      <c r="C193" t="s">
        <v>274</v>
      </c>
    </row>
    <row r="194" spans="1:3" x14ac:dyDescent="0.3">
      <c r="A194" t="s">
        <v>298</v>
      </c>
      <c r="B194">
        <v>1</v>
      </c>
      <c r="C194" t="s">
        <v>303</v>
      </c>
    </row>
    <row r="195" spans="1:3" x14ac:dyDescent="0.3">
      <c r="A195" t="s">
        <v>298</v>
      </c>
      <c r="B195">
        <v>2</v>
      </c>
      <c r="C195" t="s">
        <v>309</v>
      </c>
    </row>
    <row r="196" spans="1:3" x14ac:dyDescent="0.3">
      <c r="A196" t="s">
        <v>298</v>
      </c>
      <c r="B196">
        <v>3</v>
      </c>
      <c r="C196" t="s">
        <v>304</v>
      </c>
    </row>
    <row r="197" spans="1:3" x14ac:dyDescent="0.3">
      <c r="A197" t="s">
        <v>298</v>
      </c>
      <c r="B197">
        <v>4</v>
      </c>
      <c r="C197" t="s">
        <v>320</v>
      </c>
    </row>
    <row r="198" spans="1:3" x14ac:dyDescent="0.3">
      <c r="A198" t="s">
        <v>298</v>
      </c>
      <c r="B198">
        <v>5</v>
      </c>
      <c r="C198" t="s">
        <v>308</v>
      </c>
    </row>
    <row r="199" spans="1:3" x14ac:dyDescent="0.3">
      <c r="A199" t="s">
        <v>298</v>
      </c>
      <c r="B199">
        <v>6</v>
      </c>
      <c r="C199" t="s">
        <v>313</v>
      </c>
    </row>
    <row r="200" spans="1:3" x14ac:dyDescent="0.3">
      <c r="A200" t="s">
        <v>298</v>
      </c>
      <c r="B200">
        <v>7</v>
      </c>
      <c r="C200" t="s">
        <v>301</v>
      </c>
    </row>
    <row r="201" spans="1:3" x14ac:dyDescent="0.3">
      <c r="A201" t="s">
        <v>298</v>
      </c>
      <c r="B201">
        <v>8</v>
      </c>
      <c r="C201" t="s">
        <v>314</v>
      </c>
    </row>
    <row r="202" spans="1:3" x14ac:dyDescent="0.3">
      <c r="A202" t="s">
        <v>298</v>
      </c>
      <c r="B202">
        <v>9</v>
      </c>
      <c r="C202" t="s">
        <v>319</v>
      </c>
    </row>
    <row r="203" spans="1:3" x14ac:dyDescent="0.3">
      <c r="A203" t="s">
        <v>298</v>
      </c>
      <c r="B203">
        <v>10</v>
      </c>
      <c r="C203" t="s">
        <v>312</v>
      </c>
    </row>
    <row r="204" spans="1:3" x14ac:dyDescent="0.3">
      <c r="A204" t="s">
        <v>298</v>
      </c>
      <c r="B204">
        <v>11</v>
      </c>
      <c r="C204" t="s">
        <v>318</v>
      </c>
    </row>
    <row r="205" spans="1:3" x14ac:dyDescent="0.3">
      <c r="A205" t="s">
        <v>298</v>
      </c>
      <c r="B205">
        <v>12</v>
      </c>
      <c r="C205" t="s">
        <v>306</v>
      </c>
    </row>
    <row r="206" spans="1:3" x14ac:dyDescent="0.3">
      <c r="A206" t="s">
        <v>298</v>
      </c>
      <c r="B206">
        <v>13</v>
      </c>
      <c r="C206" t="s">
        <v>311</v>
      </c>
    </row>
    <row r="207" spans="1:3" x14ac:dyDescent="0.3">
      <c r="A207" t="s">
        <v>298</v>
      </c>
      <c r="B207">
        <v>14</v>
      </c>
      <c r="C207" t="s">
        <v>317</v>
      </c>
    </row>
    <row r="208" spans="1:3" x14ac:dyDescent="0.3">
      <c r="A208" t="s">
        <v>298</v>
      </c>
      <c r="B208">
        <v>15</v>
      </c>
      <c r="C208" t="s">
        <v>307</v>
      </c>
    </row>
    <row r="209" spans="1:3" x14ac:dyDescent="0.3">
      <c r="A209" t="s">
        <v>298</v>
      </c>
      <c r="B209">
        <v>16</v>
      </c>
      <c r="C209" t="s">
        <v>302</v>
      </c>
    </row>
    <row r="210" spans="1:3" x14ac:dyDescent="0.3">
      <c r="A210" t="s">
        <v>321</v>
      </c>
      <c r="B210">
        <v>1</v>
      </c>
      <c r="C210" t="s">
        <v>335</v>
      </c>
    </row>
    <row r="211" spans="1:3" x14ac:dyDescent="0.3">
      <c r="A211" t="s">
        <v>321</v>
      </c>
      <c r="B211">
        <v>2</v>
      </c>
      <c r="C211" t="s">
        <v>325</v>
      </c>
    </row>
    <row r="212" spans="1:3" x14ac:dyDescent="0.3">
      <c r="A212" t="s">
        <v>321</v>
      </c>
      <c r="B212">
        <v>3</v>
      </c>
      <c r="C212" t="s">
        <v>326</v>
      </c>
    </row>
    <row r="213" spans="1:3" x14ac:dyDescent="0.3">
      <c r="A213" t="s">
        <v>321</v>
      </c>
      <c r="B213">
        <v>4</v>
      </c>
      <c r="C213" t="s">
        <v>330</v>
      </c>
    </row>
    <row r="214" spans="1:3" x14ac:dyDescent="0.3">
      <c r="A214" t="s">
        <v>321</v>
      </c>
      <c r="B214">
        <v>5</v>
      </c>
      <c r="C214" t="s">
        <v>341</v>
      </c>
    </row>
    <row r="215" spans="1:3" x14ac:dyDescent="0.3">
      <c r="A215" t="s">
        <v>321</v>
      </c>
      <c r="B215">
        <v>6</v>
      </c>
      <c r="C215" t="s">
        <v>342</v>
      </c>
    </row>
    <row r="216" spans="1:3" x14ac:dyDescent="0.3">
      <c r="A216" t="s">
        <v>321</v>
      </c>
      <c r="B216">
        <v>7</v>
      </c>
      <c r="C216" t="s">
        <v>343</v>
      </c>
    </row>
    <row r="217" spans="1:3" x14ac:dyDescent="0.3">
      <c r="A217" t="s">
        <v>321</v>
      </c>
      <c r="B217">
        <v>8</v>
      </c>
      <c r="C217" t="s">
        <v>331</v>
      </c>
    </row>
    <row r="218" spans="1:3" x14ac:dyDescent="0.3">
      <c r="A218" t="s">
        <v>321</v>
      </c>
      <c r="B218">
        <v>9</v>
      </c>
      <c r="C218" t="s">
        <v>276</v>
      </c>
    </row>
    <row r="219" spans="1:3" x14ac:dyDescent="0.3">
      <c r="A219" t="s">
        <v>321</v>
      </c>
      <c r="B219">
        <v>10</v>
      </c>
      <c r="C219" t="s">
        <v>336</v>
      </c>
    </row>
    <row r="220" spans="1:3" x14ac:dyDescent="0.3">
      <c r="A220" t="s">
        <v>321</v>
      </c>
      <c r="B220">
        <v>11</v>
      </c>
      <c r="C220" t="s">
        <v>324</v>
      </c>
    </row>
    <row r="221" spans="1:3" x14ac:dyDescent="0.3">
      <c r="A221" t="s">
        <v>321</v>
      </c>
      <c r="B221">
        <v>12</v>
      </c>
      <c r="C221" t="s">
        <v>327</v>
      </c>
    </row>
    <row r="222" spans="1:3" x14ac:dyDescent="0.3">
      <c r="A222" t="s">
        <v>321</v>
      </c>
      <c r="B222">
        <v>13</v>
      </c>
      <c r="C222" t="s">
        <v>332</v>
      </c>
    </row>
    <row r="223" spans="1:3" x14ac:dyDescent="0.3">
      <c r="A223" t="s">
        <v>321</v>
      </c>
      <c r="B223">
        <v>14</v>
      </c>
      <c r="C223" t="s">
        <v>337</v>
      </c>
    </row>
    <row r="224" spans="1:3" x14ac:dyDescent="0.3">
      <c r="A224" t="s">
        <v>321</v>
      </c>
      <c r="B224">
        <v>15</v>
      </c>
      <c r="C224" t="s">
        <v>334</v>
      </c>
    </row>
    <row r="225" spans="1:3" x14ac:dyDescent="0.3">
      <c r="A225" t="s">
        <v>321</v>
      </c>
      <c r="B225">
        <v>16</v>
      </c>
      <c r="C225" t="s">
        <v>329</v>
      </c>
    </row>
    <row r="226" spans="1:3" x14ac:dyDescent="0.3">
      <c r="A226" t="s">
        <v>345</v>
      </c>
      <c r="B226">
        <v>1</v>
      </c>
      <c r="C226" t="s">
        <v>359</v>
      </c>
    </row>
    <row r="227" spans="1:3" x14ac:dyDescent="0.3">
      <c r="A227" t="s">
        <v>345</v>
      </c>
      <c r="B227">
        <v>2</v>
      </c>
      <c r="C227" t="s">
        <v>356</v>
      </c>
    </row>
    <row r="228" spans="1:3" x14ac:dyDescent="0.3">
      <c r="A228" t="s">
        <v>345</v>
      </c>
      <c r="B228">
        <v>3</v>
      </c>
      <c r="C228" t="s">
        <v>355</v>
      </c>
    </row>
    <row r="229" spans="1:3" x14ac:dyDescent="0.3">
      <c r="A229" t="s">
        <v>345</v>
      </c>
      <c r="B229">
        <v>4</v>
      </c>
      <c r="C229" t="s">
        <v>353</v>
      </c>
    </row>
    <row r="230" spans="1:3" x14ac:dyDescent="0.3">
      <c r="A230" t="s">
        <v>345</v>
      </c>
      <c r="B230">
        <v>5</v>
      </c>
      <c r="C230" t="s">
        <v>354</v>
      </c>
    </row>
    <row r="231" spans="1:3" x14ac:dyDescent="0.3">
      <c r="A231" t="s">
        <v>345</v>
      </c>
      <c r="B231">
        <v>6</v>
      </c>
      <c r="C231" t="s">
        <v>368</v>
      </c>
    </row>
    <row r="232" spans="1:3" x14ac:dyDescent="0.3">
      <c r="A232" t="s">
        <v>345</v>
      </c>
      <c r="B232">
        <v>7</v>
      </c>
      <c r="C232" t="s">
        <v>358</v>
      </c>
    </row>
    <row r="233" spans="1:3" x14ac:dyDescent="0.3">
      <c r="A233" t="s">
        <v>345</v>
      </c>
      <c r="B233">
        <v>8</v>
      </c>
      <c r="C233" t="s">
        <v>351</v>
      </c>
    </row>
    <row r="234" spans="1:3" x14ac:dyDescent="0.3">
      <c r="A234" t="s">
        <v>345</v>
      </c>
      <c r="B234">
        <v>9</v>
      </c>
      <c r="C234" t="s">
        <v>360</v>
      </c>
    </row>
    <row r="235" spans="1:3" x14ac:dyDescent="0.3">
      <c r="A235" t="s">
        <v>345</v>
      </c>
      <c r="B235">
        <v>10</v>
      </c>
      <c r="C235" t="s">
        <v>367</v>
      </c>
    </row>
    <row r="236" spans="1:3" x14ac:dyDescent="0.3">
      <c r="A236" t="s">
        <v>345</v>
      </c>
      <c r="B236">
        <v>11</v>
      </c>
      <c r="C236" t="s">
        <v>365</v>
      </c>
    </row>
    <row r="237" spans="1:3" x14ac:dyDescent="0.3">
      <c r="A237" t="s">
        <v>345</v>
      </c>
      <c r="B237">
        <v>12</v>
      </c>
      <c r="C237" t="s">
        <v>366</v>
      </c>
    </row>
    <row r="238" spans="1:3" x14ac:dyDescent="0.3">
      <c r="A238" t="s">
        <v>345</v>
      </c>
      <c r="B238">
        <v>13</v>
      </c>
      <c r="C238" t="s">
        <v>348</v>
      </c>
    </row>
    <row r="239" spans="1:3" x14ac:dyDescent="0.3">
      <c r="A239" t="s">
        <v>345</v>
      </c>
      <c r="B239">
        <v>14</v>
      </c>
      <c r="C239" t="s">
        <v>349</v>
      </c>
    </row>
    <row r="240" spans="1:3" x14ac:dyDescent="0.3">
      <c r="A240" t="s">
        <v>345</v>
      </c>
      <c r="B240">
        <v>15</v>
      </c>
      <c r="C240" t="s">
        <v>350</v>
      </c>
    </row>
    <row r="241" spans="1:3" x14ac:dyDescent="0.3">
      <c r="A241" t="s">
        <v>345</v>
      </c>
      <c r="B241">
        <v>16</v>
      </c>
      <c r="C241" t="s">
        <v>361</v>
      </c>
    </row>
    <row r="242" spans="1:3" x14ac:dyDescent="0.3">
      <c r="A242" t="s">
        <v>370</v>
      </c>
      <c r="B242">
        <v>1</v>
      </c>
      <c r="C242" t="s">
        <v>393</v>
      </c>
    </row>
    <row r="243" spans="1:3" x14ac:dyDescent="0.3">
      <c r="A243" t="s">
        <v>370</v>
      </c>
      <c r="B243">
        <v>2</v>
      </c>
      <c r="C243" t="s">
        <v>382</v>
      </c>
    </row>
    <row r="244" spans="1:3" x14ac:dyDescent="0.3">
      <c r="A244" t="s">
        <v>370</v>
      </c>
      <c r="B244">
        <v>3</v>
      </c>
      <c r="C244" t="s">
        <v>381</v>
      </c>
    </row>
    <row r="245" spans="1:3" x14ac:dyDescent="0.3">
      <c r="A245" t="s">
        <v>370</v>
      </c>
      <c r="B245">
        <v>4</v>
      </c>
      <c r="C245" t="s">
        <v>387</v>
      </c>
    </row>
    <row r="246" spans="1:3" x14ac:dyDescent="0.3">
      <c r="A246" t="s">
        <v>370</v>
      </c>
      <c r="B246">
        <v>5</v>
      </c>
      <c r="C246" t="s">
        <v>376</v>
      </c>
    </row>
    <row r="247" spans="1:3" x14ac:dyDescent="0.3">
      <c r="A247" t="s">
        <v>370</v>
      </c>
      <c r="B247">
        <v>6</v>
      </c>
      <c r="C247" t="s">
        <v>380</v>
      </c>
    </row>
    <row r="248" spans="1:3" x14ac:dyDescent="0.3">
      <c r="A248" t="s">
        <v>370</v>
      </c>
      <c r="B248">
        <v>7</v>
      </c>
      <c r="C248" t="s">
        <v>385</v>
      </c>
    </row>
    <row r="249" spans="1:3" x14ac:dyDescent="0.3">
      <c r="A249" t="s">
        <v>370</v>
      </c>
      <c r="B249">
        <v>8</v>
      </c>
      <c r="C249" t="s">
        <v>375</v>
      </c>
    </row>
    <row r="250" spans="1:3" x14ac:dyDescent="0.3">
      <c r="A250" t="s">
        <v>370</v>
      </c>
      <c r="B250">
        <v>9</v>
      </c>
      <c r="C250" t="s">
        <v>374</v>
      </c>
    </row>
    <row r="251" spans="1:3" x14ac:dyDescent="0.3">
      <c r="A251" t="s">
        <v>370</v>
      </c>
      <c r="B251">
        <v>10</v>
      </c>
      <c r="C251" t="s">
        <v>379</v>
      </c>
    </row>
    <row r="252" spans="1:3" x14ac:dyDescent="0.3">
      <c r="A252" t="s">
        <v>370</v>
      </c>
      <c r="B252">
        <v>11</v>
      </c>
      <c r="C252" t="s">
        <v>373</v>
      </c>
    </row>
    <row r="253" spans="1:3" x14ac:dyDescent="0.3">
      <c r="A253" t="s">
        <v>370</v>
      </c>
      <c r="B253">
        <v>12</v>
      </c>
      <c r="C253" t="s">
        <v>391</v>
      </c>
    </row>
    <row r="254" spans="1:3" x14ac:dyDescent="0.3">
      <c r="A254" t="s">
        <v>370</v>
      </c>
      <c r="B254">
        <v>13</v>
      </c>
      <c r="C254" t="s">
        <v>386</v>
      </c>
    </row>
    <row r="255" spans="1:3" x14ac:dyDescent="0.3">
      <c r="A255" t="s">
        <v>370</v>
      </c>
      <c r="B255">
        <v>14</v>
      </c>
      <c r="C255" t="s">
        <v>384</v>
      </c>
    </row>
    <row r="256" spans="1:3" x14ac:dyDescent="0.3">
      <c r="A256" t="s">
        <v>370</v>
      </c>
      <c r="B256">
        <v>15</v>
      </c>
      <c r="C256" t="s">
        <v>392</v>
      </c>
    </row>
    <row r="257" spans="1:3" x14ac:dyDescent="0.3">
      <c r="A257" t="s">
        <v>370</v>
      </c>
      <c r="B257">
        <v>16</v>
      </c>
      <c r="C257" t="s">
        <v>390</v>
      </c>
    </row>
    <row r="258" spans="1:3" x14ac:dyDescent="0.3">
      <c r="A258" t="s">
        <v>394</v>
      </c>
      <c r="B258">
        <v>1</v>
      </c>
      <c r="C258" t="s">
        <v>409</v>
      </c>
    </row>
    <row r="259" spans="1:3" x14ac:dyDescent="0.3">
      <c r="A259" t="s">
        <v>394</v>
      </c>
      <c r="B259">
        <v>2</v>
      </c>
      <c r="C259" t="s">
        <v>405</v>
      </c>
    </row>
    <row r="260" spans="1:3" x14ac:dyDescent="0.3">
      <c r="A260" t="s">
        <v>394</v>
      </c>
      <c r="B260">
        <v>3</v>
      </c>
      <c r="C260" t="s">
        <v>404</v>
      </c>
    </row>
    <row r="261" spans="1:3" x14ac:dyDescent="0.3">
      <c r="A261" t="s">
        <v>394</v>
      </c>
      <c r="B261">
        <v>4</v>
      </c>
      <c r="C261" t="s">
        <v>398</v>
      </c>
    </row>
    <row r="262" spans="1:3" x14ac:dyDescent="0.3">
      <c r="A262" t="s">
        <v>394</v>
      </c>
      <c r="B262">
        <v>5</v>
      </c>
      <c r="C262" t="s">
        <v>211</v>
      </c>
    </row>
    <row r="263" spans="1:3" x14ac:dyDescent="0.3">
      <c r="A263" t="s">
        <v>394</v>
      </c>
      <c r="B263">
        <v>6</v>
      </c>
      <c r="C263" t="s">
        <v>400</v>
      </c>
    </row>
    <row r="264" spans="1:3" x14ac:dyDescent="0.3">
      <c r="A264" t="s">
        <v>394</v>
      </c>
      <c r="B264">
        <v>7</v>
      </c>
      <c r="C264" t="s">
        <v>399</v>
      </c>
    </row>
    <row r="265" spans="1:3" x14ac:dyDescent="0.3">
      <c r="A265" t="s">
        <v>394</v>
      </c>
      <c r="B265">
        <v>8</v>
      </c>
      <c r="C265" t="s">
        <v>403</v>
      </c>
    </row>
    <row r="266" spans="1:3" x14ac:dyDescent="0.3">
      <c r="A266" t="s">
        <v>394</v>
      </c>
      <c r="B266">
        <v>9</v>
      </c>
      <c r="C266" t="s">
        <v>415</v>
      </c>
    </row>
    <row r="267" spans="1:3" x14ac:dyDescent="0.3">
      <c r="A267" t="s">
        <v>394</v>
      </c>
      <c r="B267">
        <v>10</v>
      </c>
      <c r="C267" t="s">
        <v>402</v>
      </c>
    </row>
    <row r="268" spans="1:3" x14ac:dyDescent="0.3">
      <c r="A268" t="s">
        <v>394</v>
      </c>
      <c r="B268">
        <v>11</v>
      </c>
      <c r="C268" t="s">
        <v>416</v>
      </c>
    </row>
    <row r="269" spans="1:3" x14ac:dyDescent="0.3">
      <c r="A269" t="s">
        <v>394</v>
      </c>
      <c r="B269">
        <v>12</v>
      </c>
      <c r="C269" t="s">
        <v>408</v>
      </c>
    </row>
    <row r="270" spans="1:3" x14ac:dyDescent="0.3">
      <c r="A270" t="s">
        <v>394</v>
      </c>
      <c r="B270">
        <v>13</v>
      </c>
      <c r="C270" t="s">
        <v>397</v>
      </c>
    </row>
    <row r="271" spans="1:3" x14ac:dyDescent="0.3">
      <c r="A271" t="s">
        <v>394</v>
      </c>
      <c r="B271">
        <v>14</v>
      </c>
      <c r="C271" t="s">
        <v>414</v>
      </c>
    </row>
    <row r="272" spans="1:3" x14ac:dyDescent="0.3">
      <c r="A272" t="s">
        <v>394</v>
      </c>
      <c r="B272">
        <v>15</v>
      </c>
      <c r="C272" t="s">
        <v>411</v>
      </c>
    </row>
    <row r="273" spans="1:3" x14ac:dyDescent="0.3">
      <c r="A273" t="s">
        <v>394</v>
      </c>
      <c r="B273">
        <v>16</v>
      </c>
      <c r="C273" t="s">
        <v>410</v>
      </c>
    </row>
    <row r="274" spans="1:3" x14ac:dyDescent="0.3">
      <c r="A274" t="s">
        <v>417</v>
      </c>
      <c r="B274">
        <v>1</v>
      </c>
      <c r="C274" t="s">
        <v>421</v>
      </c>
    </row>
    <row r="275" spans="1:3" x14ac:dyDescent="0.3">
      <c r="A275" t="s">
        <v>417</v>
      </c>
      <c r="B275">
        <v>2</v>
      </c>
      <c r="C275" t="s">
        <v>429</v>
      </c>
    </row>
    <row r="276" spans="1:3" x14ac:dyDescent="0.3">
      <c r="A276" t="s">
        <v>417</v>
      </c>
      <c r="B276">
        <v>3</v>
      </c>
      <c r="C276" t="s">
        <v>434</v>
      </c>
    </row>
    <row r="277" spans="1:3" x14ac:dyDescent="0.3">
      <c r="A277" t="s">
        <v>417</v>
      </c>
      <c r="B277">
        <v>4</v>
      </c>
      <c r="C277" t="s">
        <v>431</v>
      </c>
    </row>
    <row r="278" spans="1:3" x14ac:dyDescent="0.3">
      <c r="A278" t="s">
        <v>417</v>
      </c>
      <c r="B278">
        <v>5</v>
      </c>
      <c r="C278" t="s">
        <v>437</v>
      </c>
    </row>
    <row r="279" spans="1:3" x14ac:dyDescent="0.3">
      <c r="A279" t="s">
        <v>417</v>
      </c>
      <c r="B279">
        <v>6</v>
      </c>
      <c r="C279" t="s">
        <v>432</v>
      </c>
    </row>
    <row r="280" spans="1:3" x14ac:dyDescent="0.3">
      <c r="A280" t="s">
        <v>417</v>
      </c>
      <c r="B280">
        <v>7</v>
      </c>
      <c r="C280" t="s">
        <v>426</v>
      </c>
    </row>
    <row r="281" spans="1:3" x14ac:dyDescent="0.3">
      <c r="A281" t="s">
        <v>417</v>
      </c>
      <c r="B281">
        <v>8</v>
      </c>
      <c r="C281" t="s">
        <v>440</v>
      </c>
    </row>
    <row r="282" spans="1:3" x14ac:dyDescent="0.3">
      <c r="A282" t="s">
        <v>417</v>
      </c>
      <c r="B282">
        <v>9</v>
      </c>
      <c r="C282" t="s">
        <v>422</v>
      </c>
    </row>
    <row r="283" spans="1:3" x14ac:dyDescent="0.3">
      <c r="A283" t="s">
        <v>417</v>
      </c>
      <c r="B283">
        <v>10</v>
      </c>
      <c r="C283" t="s">
        <v>427</v>
      </c>
    </row>
    <row r="284" spans="1:3" x14ac:dyDescent="0.3">
      <c r="A284" t="s">
        <v>417</v>
      </c>
      <c r="B284">
        <v>11</v>
      </c>
      <c r="C284" t="s">
        <v>423</v>
      </c>
    </row>
    <row r="285" spans="1:3" x14ac:dyDescent="0.3">
      <c r="A285" t="s">
        <v>417</v>
      </c>
      <c r="B285">
        <v>12</v>
      </c>
      <c r="C285" t="s">
        <v>420</v>
      </c>
    </row>
    <row r="286" spans="1:3" x14ac:dyDescent="0.3">
      <c r="A286" t="s">
        <v>417</v>
      </c>
      <c r="B286">
        <v>13</v>
      </c>
      <c r="C286" t="s">
        <v>439</v>
      </c>
    </row>
    <row r="287" spans="1:3" x14ac:dyDescent="0.3">
      <c r="A287" t="s">
        <v>417</v>
      </c>
      <c r="B287">
        <v>14</v>
      </c>
      <c r="C287" t="s">
        <v>428</v>
      </c>
    </row>
    <row r="288" spans="1:3" x14ac:dyDescent="0.3">
      <c r="A288" t="s">
        <v>417</v>
      </c>
      <c r="B288">
        <v>15</v>
      </c>
      <c r="C288" t="s">
        <v>433</v>
      </c>
    </row>
    <row r="289" spans="1:3" x14ac:dyDescent="0.3">
      <c r="A289" t="s">
        <v>417</v>
      </c>
      <c r="B289">
        <v>16</v>
      </c>
      <c r="C289" t="s">
        <v>438</v>
      </c>
    </row>
    <row r="290" spans="1:3" x14ac:dyDescent="0.3">
      <c r="A290" t="s">
        <v>442</v>
      </c>
      <c r="B290">
        <v>1</v>
      </c>
      <c r="C290" t="s">
        <v>451</v>
      </c>
    </row>
    <row r="291" spans="1:3" x14ac:dyDescent="0.3">
      <c r="A291" t="s">
        <v>442</v>
      </c>
      <c r="B291">
        <v>2</v>
      </c>
      <c r="C291" t="s">
        <v>462</v>
      </c>
    </row>
    <row r="292" spans="1:3" x14ac:dyDescent="0.3">
      <c r="A292" t="s">
        <v>442</v>
      </c>
      <c r="B292">
        <v>3</v>
      </c>
      <c r="C292" t="s">
        <v>457</v>
      </c>
    </row>
    <row r="293" spans="1:3" x14ac:dyDescent="0.3">
      <c r="A293" t="s">
        <v>442</v>
      </c>
      <c r="B293">
        <v>4</v>
      </c>
      <c r="C293" t="s">
        <v>458</v>
      </c>
    </row>
    <row r="294" spans="1:3" x14ac:dyDescent="0.3">
      <c r="A294" t="s">
        <v>442</v>
      </c>
      <c r="B294">
        <v>5</v>
      </c>
      <c r="C294" t="s">
        <v>448</v>
      </c>
    </row>
    <row r="295" spans="1:3" x14ac:dyDescent="0.3">
      <c r="A295" t="s">
        <v>442</v>
      </c>
      <c r="B295">
        <v>6</v>
      </c>
      <c r="C295" t="s">
        <v>454</v>
      </c>
    </row>
    <row r="296" spans="1:3" x14ac:dyDescent="0.3">
      <c r="A296" t="s">
        <v>442</v>
      </c>
      <c r="B296">
        <v>7</v>
      </c>
      <c r="C296" t="s">
        <v>465</v>
      </c>
    </row>
    <row r="297" spans="1:3" x14ac:dyDescent="0.3">
      <c r="A297" t="s">
        <v>442</v>
      </c>
      <c r="B297">
        <v>8</v>
      </c>
      <c r="C297" t="s">
        <v>452</v>
      </c>
    </row>
    <row r="298" spans="1:3" x14ac:dyDescent="0.3">
      <c r="A298" t="s">
        <v>442</v>
      </c>
      <c r="B298">
        <v>9</v>
      </c>
      <c r="C298" t="s">
        <v>456</v>
      </c>
    </row>
    <row r="299" spans="1:3" x14ac:dyDescent="0.3">
      <c r="A299" t="s">
        <v>442</v>
      </c>
      <c r="B299">
        <v>10</v>
      </c>
      <c r="C299" t="s">
        <v>463</v>
      </c>
    </row>
    <row r="300" spans="1:3" x14ac:dyDescent="0.3">
      <c r="A300" t="s">
        <v>442</v>
      </c>
      <c r="B300">
        <v>11</v>
      </c>
      <c r="C300" t="s">
        <v>447</v>
      </c>
    </row>
    <row r="301" spans="1:3" x14ac:dyDescent="0.3">
      <c r="A301" t="s">
        <v>442</v>
      </c>
      <c r="B301">
        <v>12</v>
      </c>
      <c r="C301" t="s">
        <v>445</v>
      </c>
    </row>
    <row r="302" spans="1:3" x14ac:dyDescent="0.3">
      <c r="A302" t="s">
        <v>442</v>
      </c>
      <c r="B302">
        <v>13</v>
      </c>
      <c r="C302" t="s">
        <v>459</v>
      </c>
    </row>
    <row r="303" spans="1:3" x14ac:dyDescent="0.3">
      <c r="A303" t="s">
        <v>442</v>
      </c>
      <c r="B303">
        <v>14</v>
      </c>
      <c r="C303" t="s">
        <v>453</v>
      </c>
    </row>
    <row r="304" spans="1:3" x14ac:dyDescent="0.3">
      <c r="A304" t="s">
        <v>442</v>
      </c>
      <c r="B304">
        <v>15</v>
      </c>
      <c r="C304" t="s">
        <v>464</v>
      </c>
    </row>
    <row r="305" spans="1:3" x14ac:dyDescent="0.3">
      <c r="A305" t="s">
        <v>442</v>
      </c>
      <c r="B305">
        <v>16</v>
      </c>
      <c r="C305" t="s">
        <v>446</v>
      </c>
    </row>
    <row r="306" spans="1:3" x14ac:dyDescent="0.3">
      <c r="A306" t="s">
        <v>467</v>
      </c>
      <c r="B306">
        <v>1</v>
      </c>
      <c r="C306" t="s">
        <v>483</v>
      </c>
    </row>
    <row r="307" spans="1:3" x14ac:dyDescent="0.3">
      <c r="A307" t="s">
        <v>467</v>
      </c>
      <c r="B307">
        <v>2</v>
      </c>
      <c r="C307" t="s">
        <v>489</v>
      </c>
    </row>
    <row r="308" spans="1:3" x14ac:dyDescent="0.3">
      <c r="A308" t="s">
        <v>467</v>
      </c>
      <c r="B308">
        <v>3</v>
      </c>
      <c r="C308" t="s">
        <v>490</v>
      </c>
    </row>
    <row r="309" spans="1:3" x14ac:dyDescent="0.3">
      <c r="A309" t="s">
        <v>467</v>
      </c>
      <c r="B309">
        <v>4</v>
      </c>
      <c r="C309" t="s">
        <v>475</v>
      </c>
    </row>
    <row r="310" spans="1:3" x14ac:dyDescent="0.3">
      <c r="A310" t="s">
        <v>467</v>
      </c>
      <c r="B310">
        <v>5</v>
      </c>
      <c r="C310" t="s">
        <v>482</v>
      </c>
    </row>
    <row r="311" spans="1:3" x14ac:dyDescent="0.3">
      <c r="A311" t="s">
        <v>467</v>
      </c>
      <c r="B311">
        <v>6</v>
      </c>
      <c r="C311" t="s">
        <v>470</v>
      </c>
    </row>
    <row r="312" spans="1:3" x14ac:dyDescent="0.3">
      <c r="A312" t="s">
        <v>467</v>
      </c>
      <c r="B312">
        <v>7</v>
      </c>
      <c r="C312" t="s">
        <v>485</v>
      </c>
    </row>
    <row r="313" spans="1:3" x14ac:dyDescent="0.3">
      <c r="A313" t="s">
        <v>467</v>
      </c>
      <c r="B313">
        <v>8</v>
      </c>
      <c r="C313" t="s">
        <v>492</v>
      </c>
    </row>
    <row r="314" spans="1:3" x14ac:dyDescent="0.3">
      <c r="A314" t="s">
        <v>467</v>
      </c>
      <c r="B314">
        <v>9</v>
      </c>
      <c r="C314" t="s">
        <v>484</v>
      </c>
    </row>
    <row r="315" spans="1:3" x14ac:dyDescent="0.3">
      <c r="A315" t="s">
        <v>467</v>
      </c>
      <c r="B315">
        <v>10</v>
      </c>
      <c r="C315" t="s">
        <v>477</v>
      </c>
    </row>
    <row r="316" spans="1:3" x14ac:dyDescent="0.3">
      <c r="A316" t="s">
        <v>467</v>
      </c>
      <c r="B316">
        <v>11</v>
      </c>
      <c r="C316" t="s">
        <v>491</v>
      </c>
    </row>
    <row r="317" spans="1:3" x14ac:dyDescent="0.3">
      <c r="A317" t="s">
        <v>467</v>
      </c>
      <c r="B317">
        <v>12</v>
      </c>
      <c r="C317" t="s">
        <v>478</v>
      </c>
    </row>
    <row r="318" spans="1:3" x14ac:dyDescent="0.3">
      <c r="A318" t="s">
        <v>467</v>
      </c>
      <c r="B318">
        <v>13</v>
      </c>
      <c r="C318" t="s">
        <v>471</v>
      </c>
    </row>
    <row r="319" spans="1:3" x14ac:dyDescent="0.3">
      <c r="A319" t="s">
        <v>467</v>
      </c>
      <c r="B319">
        <v>14</v>
      </c>
      <c r="C319" t="s">
        <v>473</v>
      </c>
    </row>
    <row r="320" spans="1:3" x14ac:dyDescent="0.3">
      <c r="A320" t="s">
        <v>467</v>
      </c>
      <c r="B320">
        <v>15</v>
      </c>
      <c r="C320" t="s">
        <v>476</v>
      </c>
    </row>
    <row r="321" spans="1:3" x14ac:dyDescent="0.3">
      <c r="A321" t="s">
        <v>467</v>
      </c>
      <c r="B321">
        <v>16</v>
      </c>
      <c r="C321" t="s">
        <v>472</v>
      </c>
    </row>
    <row r="322" spans="1:3" x14ac:dyDescent="0.3">
      <c r="A322" t="s">
        <v>493</v>
      </c>
      <c r="B322">
        <v>1</v>
      </c>
      <c r="C322" t="s">
        <v>509</v>
      </c>
    </row>
    <row r="323" spans="1:3" x14ac:dyDescent="0.3">
      <c r="A323" t="s">
        <v>493</v>
      </c>
      <c r="B323">
        <v>2</v>
      </c>
      <c r="C323" t="s">
        <v>516</v>
      </c>
    </row>
    <row r="324" spans="1:3" x14ac:dyDescent="0.3">
      <c r="A324" t="s">
        <v>493</v>
      </c>
      <c r="B324">
        <v>3</v>
      </c>
      <c r="C324" t="s">
        <v>511</v>
      </c>
    </row>
    <row r="325" spans="1:3" x14ac:dyDescent="0.3">
      <c r="A325" t="s">
        <v>493</v>
      </c>
      <c r="B325">
        <v>4</v>
      </c>
      <c r="C325" t="s">
        <v>496</v>
      </c>
    </row>
    <row r="326" spans="1:3" x14ac:dyDescent="0.3">
      <c r="A326" t="s">
        <v>493</v>
      </c>
      <c r="B326">
        <v>5</v>
      </c>
      <c r="C326" t="s">
        <v>497</v>
      </c>
    </row>
    <row r="327" spans="1:3" x14ac:dyDescent="0.3">
      <c r="A327" t="s">
        <v>493</v>
      </c>
      <c r="B327">
        <v>6</v>
      </c>
      <c r="C327" t="s">
        <v>503</v>
      </c>
    </row>
    <row r="328" spans="1:3" x14ac:dyDescent="0.3">
      <c r="A328" t="s">
        <v>493</v>
      </c>
      <c r="B328">
        <v>7</v>
      </c>
      <c r="C328" t="s">
        <v>508</v>
      </c>
    </row>
    <row r="329" spans="1:3" x14ac:dyDescent="0.3">
      <c r="A329" t="s">
        <v>493</v>
      </c>
      <c r="B329">
        <v>8</v>
      </c>
      <c r="C329" t="s">
        <v>251</v>
      </c>
    </row>
    <row r="330" spans="1:3" x14ac:dyDescent="0.3">
      <c r="A330" t="s">
        <v>493</v>
      </c>
      <c r="B330">
        <v>9</v>
      </c>
      <c r="C330" t="s">
        <v>499</v>
      </c>
    </row>
    <row r="331" spans="1:3" x14ac:dyDescent="0.3">
      <c r="A331" t="s">
        <v>493</v>
      </c>
      <c r="B331">
        <v>10</v>
      </c>
      <c r="C331" t="s">
        <v>510</v>
      </c>
    </row>
    <row r="332" spans="1:3" x14ac:dyDescent="0.3">
      <c r="A332" t="s">
        <v>493</v>
      </c>
      <c r="B332">
        <v>11</v>
      </c>
      <c r="C332" t="s">
        <v>505</v>
      </c>
    </row>
    <row r="333" spans="1:3" x14ac:dyDescent="0.3">
      <c r="A333" t="s">
        <v>493</v>
      </c>
      <c r="B333">
        <v>12</v>
      </c>
      <c r="C333" t="s">
        <v>504</v>
      </c>
    </row>
    <row r="334" spans="1:3" x14ac:dyDescent="0.3">
      <c r="A334" t="s">
        <v>493</v>
      </c>
      <c r="B334">
        <v>13</v>
      </c>
      <c r="C334" t="s">
        <v>514</v>
      </c>
    </row>
    <row r="335" spans="1:3" x14ac:dyDescent="0.3">
      <c r="A335" t="s">
        <v>493</v>
      </c>
      <c r="B335">
        <v>14</v>
      </c>
      <c r="C335" t="s">
        <v>502</v>
      </c>
    </row>
    <row r="336" spans="1:3" x14ac:dyDescent="0.3">
      <c r="A336" t="s">
        <v>493</v>
      </c>
      <c r="B336">
        <v>15</v>
      </c>
      <c r="C336" t="s">
        <v>498</v>
      </c>
    </row>
    <row r="337" spans="1:3" x14ac:dyDescent="0.3">
      <c r="A337" t="s">
        <v>493</v>
      </c>
      <c r="B337">
        <v>16</v>
      </c>
      <c r="C337" t="s">
        <v>515</v>
      </c>
    </row>
    <row r="338" spans="1:3" x14ac:dyDescent="0.3">
      <c r="A338" t="s">
        <v>518</v>
      </c>
      <c r="B338">
        <v>1</v>
      </c>
      <c r="C338" t="s">
        <v>523</v>
      </c>
    </row>
    <row r="339" spans="1:3" x14ac:dyDescent="0.3">
      <c r="A339" t="s">
        <v>518</v>
      </c>
      <c r="B339">
        <v>2</v>
      </c>
      <c r="C339" t="s">
        <v>522</v>
      </c>
    </row>
    <row r="340" spans="1:3" x14ac:dyDescent="0.3">
      <c r="A340" t="s">
        <v>518</v>
      </c>
      <c r="B340">
        <v>3</v>
      </c>
      <c r="C340" t="s">
        <v>527</v>
      </c>
    </row>
    <row r="341" spans="1:3" x14ac:dyDescent="0.3">
      <c r="A341" t="s">
        <v>518</v>
      </c>
      <c r="B341">
        <v>4</v>
      </c>
      <c r="C341" t="s">
        <v>538</v>
      </c>
    </row>
    <row r="342" spans="1:3" x14ac:dyDescent="0.3">
      <c r="A342" t="s">
        <v>518</v>
      </c>
      <c r="B342">
        <v>5</v>
      </c>
      <c r="C342" t="s">
        <v>151</v>
      </c>
    </row>
    <row r="343" spans="1:3" x14ac:dyDescent="0.3">
      <c r="A343" t="s">
        <v>518</v>
      </c>
      <c r="B343">
        <v>6</v>
      </c>
      <c r="C343" t="s">
        <v>528</v>
      </c>
    </row>
    <row r="344" spans="1:3" x14ac:dyDescent="0.3">
      <c r="A344" t="s">
        <v>518</v>
      </c>
      <c r="B344">
        <v>7</v>
      </c>
      <c r="C344" t="s">
        <v>539</v>
      </c>
    </row>
    <row r="345" spans="1:3" x14ac:dyDescent="0.3">
      <c r="A345" t="s">
        <v>518</v>
      </c>
      <c r="B345">
        <v>8</v>
      </c>
      <c r="C345" t="s">
        <v>524</v>
      </c>
    </row>
    <row r="346" spans="1:3" x14ac:dyDescent="0.3">
      <c r="A346" t="s">
        <v>518</v>
      </c>
      <c r="B346">
        <v>9</v>
      </c>
      <c r="C346" t="s">
        <v>531</v>
      </c>
    </row>
    <row r="347" spans="1:3" x14ac:dyDescent="0.3">
      <c r="A347" t="s">
        <v>518</v>
      </c>
      <c r="B347">
        <v>10</v>
      </c>
      <c r="C347" t="s">
        <v>537</v>
      </c>
    </row>
    <row r="348" spans="1:3" x14ac:dyDescent="0.3">
      <c r="A348" t="s">
        <v>518</v>
      </c>
      <c r="B348">
        <v>11</v>
      </c>
      <c r="C348" t="s">
        <v>526</v>
      </c>
    </row>
    <row r="349" spans="1:3" x14ac:dyDescent="0.3">
      <c r="A349" t="s">
        <v>518</v>
      </c>
      <c r="B349">
        <v>12</v>
      </c>
      <c r="C349" t="s">
        <v>533</v>
      </c>
    </row>
    <row r="350" spans="1:3" x14ac:dyDescent="0.3">
      <c r="A350" t="s">
        <v>518</v>
      </c>
      <c r="B350">
        <v>13</v>
      </c>
      <c r="C350" t="s">
        <v>529</v>
      </c>
    </row>
    <row r="351" spans="1:3" x14ac:dyDescent="0.3">
      <c r="A351" t="s">
        <v>518</v>
      </c>
      <c r="B351">
        <v>14</v>
      </c>
      <c r="C351" t="s">
        <v>534</v>
      </c>
    </row>
    <row r="352" spans="1:3" x14ac:dyDescent="0.3">
      <c r="A352" t="s">
        <v>518</v>
      </c>
      <c r="B352">
        <v>15</v>
      </c>
      <c r="C352" t="s">
        <v>521</v>
      </c>
    </row>
    <row r="353" spans="1:3" x14ac:dyDescent="0.3">
      <c r="A353" t="s">
        <v>518</v>
      </c>
      <c r="B353">
        <v>16</v>
      </c>
      <c r="C353" t="s">
        <v>532</v>
      </c>
    </row>
    <row r="354" spans="1:3" x14ac:dyDescent="0.3">
      <c r="A354" t="s">
        <v>541</v>
      </c>
      <c r="B354">
        <v>1</v>
      </c>
      <c r="C354" t="s">
        <v>560</v>
      </c>
    </row>
    <row r="355" spans="1:3" x14ac:dyDescent="0.3">
      <c r="A355" t="s">
        <v>541</v>
      </c>
      <c r="B355">
        <v>2</v>
      </c>
      <c r="C355" t="s">
        <v>555</v>
      </c>
    </row>
    <row r="356" spans="1:3" x14ac:dyDescent="0.3">
      <c r="A356" t="s">
        <v>541</v>
      </c>
      <c r="B356">
        <v>3</v>
      </c>
      <c r="C356" t="s">
        <v>547</v>
      </c>
    </row>
    <row r="357" spans="1:3" x14ac:dyDescent="0.3">
      <c r="A357" t="s">
        <v>541</v>
      </c>
      <c r="B357">
        <v>4</v>
      </c>
      <c r="C357" t="s">
        <v>563</v>
      </c>
    </row>
    <row r="358" spans="1:3" x14ac:dyDescent="0.3">
      <c r="A358" t="s">
        <v>541</v>
      </c>
      <c r="B358">
        <v>5</v>
      </c>
      <c r="C358" t="s">
        <v>545</v>
      </c>
    </row>
    <row r="359" spans="1:3" x14ac:dyDescent="0.3">
      <c r="A359" t="s">
        <v>541</v>
      </c>
      <c r="B359">
        <v>6</v>
      </c>
      <c r="C359" t="s">
        <v>551</v>
      </c>
    </row>
    <row r="360" spans="1:3" x14ac:dyDescent="0.3">
      <c r="A360" t="s">
        <v>541</v>
      </c>
      <c r="B360">
        <v>7</v>
      </c>
      <c r="C360" t="s">
        <v>556</v>
      </c>
    </row>
    <row r="361" spans="1:3" x14ac:dyDescent="0.3">
      <c r="A361" t="s">
        <v>541</v>
      </c>
      <c r="B361">
        <v>8</v>
      </c>
      <c r="C361" t="s">
        <v>552</v>
      </c>
    </row>
    <row r="362" spans="1:3" x14ac:dyDescent="0.3">
      <c r="A362" t="s">
        <v>541</v>
      </c>
      <c r="B362">
        <v>9</v>
      </c>
      <c r="C362" t="s">
        <v>562</v>
      </c>
    </row>
    <row r="363" spans="1:3" x14ac:dyDescent="0.3">
      <c r="A363" t="s">
        <v>541</v>
      </c>
      <c r="B363">
        <v>10</v>
      </c>
      <c r="C363" t="s">
        <v>550</v>
      </c>
    </row>
    <row r="364" spans="1:3" x14ac:dyDescent="0.3">
      <c r="A364" t="s">
        <v>541</v>
      </c>
      <c r="B364">
        <v>11</v>
      </c>
      <c r="C364" t="s">
        <v>561</v>
      </c>
    </row>
    <row r="365" spans="1:3" x14ac:dyDescent="0.3">
      <c r="A365" t="s">
        <v>541</v>
      </c>
      <c r="B365">
        <v>12</v>
      </c>
      <c r="C365" t="s">
        <v>544</v>
      </c>
    </row>
    <row r="366" spans="1:3" x14ac:dyDescent="0.3">
      <c r="A366" t="s">
        <v>541</v>
      </c>
      <c r="B366">
        <v>13</v>
      </c>
      <c r="C366" t="s">
        <v>554</v>
      </c>
    </row>
    <row r="367" spans="1:3" x14ac:dyDescent="0.3">
      <c r="A367" t="s">
        <v>541</v>
      </c>
      <c r="B367">
        <v>14</v>
      </c>
      <c r="C367" t="s">
        <v>557</v>
      </c>
    </row>
    <row r="368" spans="1:3" x14ac:dyDescent="0.3">
      <c r="A368" t="s">
        <v>541</v>
      </c>
      <c r="B368">
        <v>15</v>
      </c>
      <c r="C368" t="s">
        <v>546</v>
      </c>
    </row>
    <row r="369" spans="1:3" x14ac:dyDescent="0.3">
      <c r="A369" t="s">
        <v>541</v>
      </c>
      <c r="B369">
        <v>16</v>
      </c>
      <c r="C369" t="s">
        <v>549</v>
      </c>
    </row>
    <row r="370" spans="1:3" x14ac:dyDescent="0.3">
      <c r="A370" t="s">
        <v>564</v>
      </c>
      <c r="B370">
        <v>1</v>
      </c>
      <c r="C370" t="s">
        <v>583</v>
      </c>
    </row>
    <row r="371" spans="1:3" x14ac:dyDescent="0.3">
      <c r="A371" t="s">
        <v>564</v>
      </c>
      <c r="B371">
        <v>2</v>
      </c>
      <c r="C371" t="s">
        <v>584</v>
      </c>
    </row>
    <row r="372" spans="1:3" x14ac:dyDescent="0.3">
      <c r="A372" t="s">
        <v>564</v>
      </c>
      <c r="B372">
        <v>3</v>
      </c>
      <c r="C372" t="s">
        <v>567</v>
      </c>
    </row>
    <row r="373" spans="1:3" x14ac:dyDescent="0.3">
      <c r="A373" t="s">
        <v>564</v>
      </c>
      <c r="B373">
        <v>4</v>
      </c>
      <c r="C373" t="s">
        <v>572</v>
      </c>
    </row>
    <row r="374" spans="1:3" x14ac:dyDescent="0.3">
      <c r="A374" t="s">
        <v>564</v>
      </c>
      <c r="B374">
        <v>5</v>
      </c>
      <c r="C374" t="s">
        <v>570</v>
      </c>
    </row>
    <row r="375" spans="1:3" x14ac:dyDescent="0.3">
      <c r="A375" t="s">
        <v>564</v>
      </c>
      <c r="B375">
        <v>6</v>
      </c>
      <c r="C375" t="s">
        <v>578</v>
      </c>
    </row>
    <row r="376" spans="1:3" x14ac:dyDescent="0.3">
      <c r="A376" t="s">
        <v>564</v>
      </c>
      <c r="B376">
        <v>7</v>
      </c>
      <c r="C376" t="s">
        <v>574</v>
      </c>
    </row>
    <row r="377" spans="1:3" x14ac:dyDescent="0.3">
      <c r="A377" t="s">
        <v>564</v>
      </c>
      <c r="B377">
        <v>8</v>
      </c>
      <c r="C377" t="s">
        <v>582</v>
      </c>
    </row>
    <row r="378" spans="1:3" x14ac:dyDescent="0.3">
      <c r="A378" t="s">
        <v>564</v>
      </c>
      <c r="B378">
        <v>9</v>
      </c>
      <c r="C378" t="s">
        <v>575</v>
      </c>
    </row>
    <row r="379" spans="1:3" x14ac:dyDescent="0.3">
      <c r="A379" t="s">
        <v>564</v>
      </c>
      <c r="B379">
        <v>10</v>
      </c>
      <c r="C379" t="s">
        <v>579</v>
      </c>
    </row>
    <row r="380" spans="1:3" x14ac:dyDescent="0.3">
      <c r="A380" t="s">
        <v>564</v>
      </c>
      <c r="B380">
        <v>11</v>
      </c>
      <c r="C380" t="s">
        <v>580</v>
      </c>
    </row>
    <row r="381" spans="1:3" x14ac:dyDescent="0.3">
      <c r="A381" t="s">
        <v>564</v>
      </c>
      <c r="B381">
        <v>12</v>
      </c>
      <c r="C381" t="s">
        <v>568</v>
      </c>
    </row>
    <row r="382" spans="1:3" x14ac:dyDescent="0.3">
      <c r="A382" t="s">
        <v>564</v>
      </c>
      <c r="B382">
        <v>13</v>
      </c>
      <c r="C382" t="s">
        <v>577</v>
      </c>
    </row>
    <row r="383" spans="1:3" x14ac:dyDescent="0.3">
      <c r="A383" t="s">
        <v>564</v>
      </c>
      <c r="B383">
        <v>14</v>
      </c>
      <c r="C383" t="s">
        <v>569</v>
      </c>
    </row>
    <row r="384" spans="1:3" x14ac:dyDescent="0.3">
      <c r="A384" t="s">
        <v>564</v>
      </c>
      <c r="B384">
        <v>15</v>
      </c>
      <c r="C384" t="s">
        <v>585</v>
      </c>
    </row>
    <row r="385" spans="1:3" x14ac:dyDescent="0.3">
      <c r="A385" t="s">
        <v>564</v>
      </c>
      <c r="B385">
        <v>16</v>
      </c>
      <c r="C385" t="s">
        <v>573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zoomScaleNormal="100" workbookViewId="0">
      <selection activeCell="B2" sqref="B2"/>
    </sheetView>
  </sheetViews>
  <sheetFormatPr defaultColWidth="8.6640625" defaultRowHeight="14.4" x14ac:dyDescent="0.3"/>
  <cols>
    <col min="1" max="1" width="16" customWidth="1"/>
    <col min="2" max="2" width="40" customWidth="1"/>
    <col min="3" max="6" width="15" customWidth="1"/>
    <col min="7" max="7" width="40" customWidth="1"/>
  </cols>
  <sheetData>
    <row r="1" spans="1:4" ht="17.25" customHeight="1" x14ac:dyDescent="0.3">
      <c r="A1" s="1" t="s">
        <v>590</v>
      </c>
    </row>
    <row r="2" spans="1:4" x14ac:dyDescent="0.3">
      <c r="A2" s="4" t="s">
        <v>591</v>
      </c>
      <c r="B2" s="9" t="s">
        <v>541</v>
      </c>
      <c r="C2" t="str">
        <f>VLOOKUP(B2,Feladványok!A:B,2,FALSE())</f>
        <v>2026-10-16</v>
      </c>
    </row>
    <row r="3" spans="1:4" x14ac:dyDescent="0.3">
      <c r="C3" s="11"/>
    </row>
    <row r="4" spans="1:4" x14ac:dyDescent="0.3">
      <c r="A4" s="2" t="s">
        <v>592</v>
      </c>
    </row>
    <row r="6" spans="1:4" ht="27.75" customHeight="1" x14ac:dyDescent="0.3">
      <c r="A6" s="10" t="str">
        <f>INDEX(Segéd!$C$2:$C$385,MATCH($B$2,Segéd!$A$2:$A$385,0)+1-1)</f>
        <v>Kínál</v>
      </c>
      <c r="B6" s="10" t="str">
        <f>INDEX(Segéd!$C$2:$C$385,MATCH($B$2,Segéd!$A$2:$A$385,0)+2-1)</f>
        <v>Zúg</v>
      </c>
      <c r="C6" s="10" t="str">
        <f>INDEX(Segéd!$C$2:$C$385,MATCH($B$2,Segéd!$A$2:$A$385,0)+3-1)</f>
        <v>Padlizsán</v>
      </c>
      <c r="D6" s="10" t="str">
        <f>INDEX(Segéd!$C$2:$C$385,MATCH($B$2,Segéd!$A$2:$A$385,0)+4-1)</f>
        <v>Románc</v>
      </c>
    </row>
    <row r="7" spans="1:4" ht="27.75" customHeight="1" x14ac:dyDescent="0.3">
      <c r="A7" s="10" t="str">
        <f>INDEX(Segéd!$C$2:$C$385,MATCH($B$2,Segéd!$A$2:$A$385,0)+5-1)</f>
        <v>Cékla</v>
      </c>
      <c r="B7" s="10" t="str">
        <f>INDEX(Segéd!$C$2:$C$385,MATCH($B$2,Segéd!$A$2:$A$385,0)+6-1)</f>
        <v>Gerenda</v>
      </c>
      <c r="C7" s="10" t="str">
        <f>INDEX(Segéd!$C$2:$C$385,MATCH($B$2,Segéd!$A$2:$A$385,0)+7-1)</f>
        <v>Fütyül</v>
      </c>
      <c r="D7" s="10" t="str">
        <f>INDEX(Segéd!$C$2:$C$385,MATCH($B$2,Segéd!$A$2:$A$385,0)+8-1)</f>
        <v>Lom</v>
      </c>
    </row>
    <row r="8" spans="1:4" ht="27.75" customHeight="1" x14ac:dyDescent="0.3">
      <c r="A8" s="10" t="str">
        <f>INDEX(Segéd!$C$2:$C$385,MATCH($B$2,Segéd!$A$2:$A$385,0)+9-1)</f>
        <v>Indián</v>
      </c>
      <c r="B8" s="10" t="str">
        <f>INDEX(Segéd!$C$2:$C$385,MATCH($B$2,Segéd!$A$2:$A$385,0)+10-1)</f>
        <v>Láda</v>
      </c>
      <c r="C8" s="10" t="str">
        <f>INDEX(Segéd!$C$2:$C$385,MATCH($B$2,Segéd!$A$2:$A$385,0)+11-1)</f>
        <v>Kirándul</v>
      </c>
      <c r="D8" s="10" t="str">
        <f>INDEX(Segéd!$C$2:$C$385,MATCH($B$2,Segéd!$A$2:$A$385,0)+12-1)</f>
        <v>Retek</v>
      </c>
    </row>
    <row r="9" spans="1:4" ht="27.75" customHeight="1" x14ac:dyDescent="0.3">
      <c r="A9" s="10" t="str">
        <f>INDEX(Segéd!$C$2:$C$385,MATCH($B$2,Segéd!$A$2:$A$385,0)+13-1)</f>
        <v>Süvít</v>
      </c>
      <c r="B9" s="10" t="str">
        <f>INDEX(Segéd!$C$2:$C$385,MATCH($B$2,Segéd!$A$2:$A$385,0)+14-1)</f>
        <v>Tombol</v>
      </c>
      <c r="C9" s="10" t="str">
        <f>INDEX(Segéd!$C$2:$C$385,MATCH($B$2,Segéd!$A$2:$A$385,0)+15-1)</f>
        <v>Karalábé</v>
      </c>
      <c r="D9" s="10" t="str">
        <f>INDEX(Segéd!$C$2:$C$385,MATCH($B$2,Segéd!$A$2:$A$385,0)+16-1)</f>
        <v>Pókháló</v>
      </c>
    </row>
    <row r="20" spans="1:7" ht="17.25" customHeight="1" x14ac:dyDescent="0.3">
      <c r="A20" s="1" t="s">
        <v>593</v>
      </c>
    </row>
    <row r="22" spans="1:7" x14ac:dyDescent="0.3">
      <c r="A22" s="5" t="s">
        <v>594</v>
      </c>
      <c r="B22" s="5" t="s">
        <v>595</v>
      </c>
      <c r="C22" s="5" t="s">
        <v>596</v>
      </c>
      <c r="D22" s="5"/>
      <c r="E22" s="5"/>
      <c r="F22" s="5"/>
      <c r="G22" s="5" t="s">
        <v>597</v>
      </c>
    </row>
    <row r="23" spans="1:7" x14ac:dyDescent="0.3">
      <c r="A23" s="6">
        <v>1</v>
      </c>
      <c r="B23" s="6" t="str">
        <f>INDEX(Feladványok!$D$2:$D$97,MATCH($B$2,Feladványok!$A$2:$A$97,0)+1-1)</f>
        <v>Zöldségek</v>
      </c>
      <c r="C23" s="6" t="str">
        <f>INDEX(Feladványok!$F$2:$F$97,MATCH($B$2,Feladványok!$A$2:$A$97,0)+1-1)</f>
        <v>Retek</v>
      </c>
      <c r="D23" s="6" t="str">
        <f>INDEX(Feladványok!$G$2:$G$97,MATCH($B$2,Feladványok!$A$2:$A$97,0)+1-1)</f>
        <v>Cékla</v>
      </c>
      <c r="E23" s="6" t="str">
        <f>INDEX(Feladványok!$H$2:$H$97,MATCH($B$2,Feladványok!$A$2:$A$97,0)+1-1)</f>
        <v>Karalábé</v>
      </c>
      <c r="F23" s="6" t="str">
        <f>INDEX(Feladványok!$I$2:$I$97,MATCH($B$2,Feladványok!$A$2:$A$97,0)+1-1)</f>
        <v>Padlizsán</v>
      </c>
      <c r="G23" s="6" t="str">
        <f>IF(INDEX(Feladványok!$E$2:$E$97,MATCH($B$2,Feladványok!$A$2:$A$97,0)+1-1)="","",INDEX(Feladványok!$E$2:$E$97,MATCH($B$2,Feladványok!$A$2:$A$97,0)+1-1))</f>
        <v/>
      </c>
    </row>
    <row r="24" spans="1:7" x14ac:dyDescent="0.3">
      <c r="A24" s="6">
        <v>2</v>
      </c>
      <c r="B24" s="6" t="str">
        <f>INDEX(Feladványok!$D$2:$D$97,MATCH($B$2,Feladványok!$A$2:$A$97,0)+2-1)</f>
        <v>Ami a padláson van</v>
      </c>
      <c r="C24" s="6" t="str">
        <f>INDEX(Feladványok!$F$2:$F$97,MATCH($B$2,Feladványok!$A$2:$A$97,0)+2-1)</f>
        <v>Pókháló</v>
      </c>
      <c r="D24" s="6" t="str">
        <f>INDEX(Feladványok!$G$2:$G$97,MATCH($B$2,Feladványok!$A$2:$A$97,0)+2-1)</f>
        <v>Láda</v>
      </c>
      <c r="E24" s="6" t="str">
        <f>INDEX(Feladványok!$H$2:$H$97,MATCH($B$2,Feladványok!$A$2:$A$97,0)+2-1)</f>
        <v>Gerenda</v>
      </c>
      <c r="F24" s="6" t="str">
        <f>INDEX(Feladványok!$I$2:$I$97,MATCH($B$2,Feladványok!$A$2:$A$97,0)+2-1)</f>
        <v>Lom</v>
      </c>
      <c r="G24" s="6" t="str">
        <f>IF(INDEX(Feladványok!$E$2:$E$97,MATCH($B$2,Feladványok!$A$2:$A$97,0)+2-1)="","",INDEX(Feladványok!$E$2:$E$97,MATCH($B$2,Feladványok!$A$2:$A$97,0)+2-1))</f>
        <v/>
      </c>
    </row>
    <row r="25" spans="1:7" x14ac:dyDescent="0.3">
      <c r="A25" s="6">
        <v>3</v>
      </c>
      <c r="B25" s="6" t="str">
        <f>INDEX(Feladványok!$D$2:$D$97,MATCH($B$2,Feladványok!$A$2:$A$97,0)+3-1)</f>
        <v>Amit a szél csinál</v>
      </c>
      <c r="C25" s="6" t="str">
        <f>INDEX(Feladványok!$F$2:$F$97,MATCH($B$2,Feladványok!$A$2:$A$97,0)+3-1)</f>
        <v>Süvít</v>
      </c>
      <c r="D25" s="6" t="str">
        <f>INDEX(Feladványok!$G$2:$G$97,MATCH($B$2,Feladványok!$A$2:$A$97,0)+3-1)</f>
        <v>Zúg</v>
      </c>
      <c r="E25" s="6" t="str">
        <f>INDEX(Feladványok!$H$2:$H$97,MATCH($B$2,Feladványok!$A$2:$A$97,0)+3-1)</f>
        <v>Fütyül</v>
      </c>
      <c r="F25" s="6" t="str">
        <f>INDEX(Feladványok!$I$2:$I$97,MATCH($B$2,Feladványok!$A$2:$A$97,0)+3-1)</f>
        <v>Tombol</v>
      </c>
      <c r="G25" s="6" t="str">
        <f>IF(INDEX(Feladványok!$E$2:$E$97,MATCH($B$2,Feladványok!$A$2:$A$97,0)+3-1)="","",INDEX(Feladványok!$E$2:$E$97,MATCH($B$2,Feladványok!$A$2:$A$97,0)+3-1))</f>
        <v/>
      </c>
    </row>
    <row r="26" spans="1:7" x14ac:dyDescent="0.3">
      <c r="A26" s="6">
        <v>4</v>
      </c>
      <c r="B26" s="6" t="str">
        <f>INDEX(Feladványok!$D$2:$D$97,MATCH($B$2,Feladványok!$A$2:$A$97,0)+4-1)</f>
        <v>Ország rejtőzik a szóban</v>
      </c>
      <c r="C26" s="6" t="str">
        <f>INDEX(Feladványok!$F$2:$F$97,MATCH($B$2,Feladványok!$A$2:$A$97,0)+4-1)</f>
        <v>Kínál</v>
      </c>
      <c r="D26" s="6" t="str">
        <f>INDEX(Feladványok!$G$2:$G$97,MATCH($B$2,Feladványok!$A$2:$A$97,0)+4-1)</f>
        <v>Kirándul</v>
      </c>
      <c r="E26" s="6" t="str">
        <f>INDEX(Feladványok!$H$2:$H$97,MATCH($B$2,Feladványok!$A$2:$A$97,0)+4-1)</f>
        <v>Indián</v>
      </c>
      <c r="F26" s="6" t="str">
        <f>INDEX(Feladványok!$I$2:$I$97,MATCH($B$2,Feladványok!$A$2:$A$97,0)+4-1)</f>
        <v>Románc</v>
      </c>
      <c r="G26" s="6" t="str">
        <f>IF(INDEX(Feladványok!$E$2:$E$97,MATCH($B$2,Feladványok!$A$2:$A$97,0)+4-1)="","",INDEX(Feladványok!$E$2:$E$97,MATCH($B$2,Feladványok!$A$2:$A$97,0)+4-1))</f>
        <v>Kína, Irán, India, Omán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Útmutató</vt:lpstr>
      <vt:lpstr>Feladványok</vt:lpstr>
      <vt:lpstr>Segéd</vt:lpstr>
      <vt:lpstr>Játék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Áron Arany-Tóth</cp:lastModifiedBy>
  <cp:revision>0</cp:revision>
  <dcterms:created xsi:type="dcterms:W3CDTF">2026-09-24T11:41:30Z</dcterms:created>
  <dcterms:modified xsi:type="dcterms:W3CDTF">2026-10-17T18:06:24Z</dcterms:modified>
  <dc:language>en-US</dc:language>
</cp:coreProperties>
</file>