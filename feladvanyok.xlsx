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Útmutató" sheetId="1" state="visible" r:id="rId1"/>
    <sheet name="Feladványok" sheetId="2" state="visible" r:id="rId2"/>
    <sheet name="Segéd" sheetId="3" state="hidden" r:id="rId3"/>
    <sheet name="Játék" sheetId="4" state="visible" r:id="rId4"/>
  </sheets>
  <definedNames>
    <definedName name="feladvany_lista">'Segéd'!$E$2:$E$43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charset val="1"/>
      <family val="2"/>
      <color theme="1"/>
      <sz val="11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Arial"/>
      <family val="2"/>
      <sz val="11"/>
    </font>
    <font>
      <name val="Arial"/>
      <charset val="1"/>
      <family val="2"/>
      <b val="1"/>
      <sz val="11"/>
    </font>
    <font>
      <name val="Arial"/>
      <family val="2"/>
      <color rgb="FFFF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164" fontId="3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16" customWidth="1" min="2" max="10"/>
  </cols>
  <sheetData>
    <row r="1" ht="17.25" customHeight="1">
      <c r="A1" s="1" t="inlineStr">
        <is>
          <t>Rokonszavak – feladványbank és gyakorlólap</t>
        </is>
      </c>
    </row>
    <row r="2">
      <c r="A2" s="2" t="n"/>
    </row>
    <row r="3">
      <c r="A3" s="2" t="inlineStr">
        <is>
          <t>Feladványok lap – ide írod az adatokat. Minden sor egy csoport, minden feladvány 4 sor (szint 1–4).</t>
        </is>
      </c>
    </row>
    <row r="4">
      <c r="A4" s="2" t="inlineStr">
        <is>
          <t>Játék lap – itt tudod magad megfejteni. Csak a sárga cellát állítod (B2), a többi képlet.</t>
        </is>
      </c>
    </row>
    <row r="5">
      <c r="A5" s="2" t="inlineStr">
        <is>
          <t>Segéd lap – rejtett, a keverést tárolja. Ne szerkeszd.</t>
        </is>
      </c>
    </row>
    <row r="6">
      <c r="A6" s="2" t="n"/>
    </row>
    <row r="7">
      <c r="A7" s="2" t="inlineStr">
        <is>
          <t>Új feladvány felvétele: írj 4 új sort a Feladványok lap aljára, azonos feladvany_id-vel és kezdes dátummal, szint 1-től 4-ig.</t>
        </is>
      </c>
    </row>
    <row r="8">
      <c r="A8" s="3" t="inlineStr">
        <is>
          <t>Szabályok: 16 egyedi szó feladványonként, szint 1 a legkönnyebb, szint 4 a legnehezebb.</t>
        </is>
      </c>
    </row>
    <row r="9">
      <c r="A9" s="3" t="inlineStr">
        <is>
          <t>Szóhossz: 9 karakterig biztosan elfér egy sorban. 10–12 karakter csak kétsoros dobozzal, feladványonként legfeljebb egy ilyen szó.</t>
        </is>
      </c>
    </row>
    <row r="10">
      <c r="A10" s="3" t="inlineStr">
        <is>
          <t>NINCS kakukktojás: egy szó sem illhet két csoportba ugyanabban a feladványban. A nehézséget a kategória adja, nem a kétértelműség.</t>
        </is>
      </c>
    </row>
    <row r="11">
      <c r="A11" s="3" t="inlineStr">
        <is>
          <t>A megjegyzes oszlop a játékosnak szól. Az ellenorzes oszlop csak neked – ez sosem kerül ki a weboldalra.</t>
        </is>
      </c>
    </row>
    <row r="12">
      <c r="A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2" t="n"/>
    </row>
    <row r="17">
      <c r="A17" s="13" t="inlineStr">
        <is>
          <t>ÚJ SZABÁLY: egy csoporton belül ne végződjön három szó ugyanúgy (pl. mind -usz vagy mind -on). A közös végződés ránézésre megadja a csoportot.</t>
        </is>
      </c>
    </row>
    <row r="18">
      <c r="A18" s="13" t="inlineStr">
        <is>
          <t>ÚJ SZABÁLY: ne legyen sok tulajdonneves csoport, és ritkán térjen vissza az "amit lehet X-ni" meg a "___ + SZÓ" típus.</t>
        </is>
      </c>
    </row>
    <row r="19">
      <c r="A19" s="13" t="inlineStr">
        <is>
          <t>A megjegyzes oszlopba csak akkor írj, ha tényleg hoz új infót (teljes név, rövidítés feloldása, ritka szó jelentése). Ami a kategórianévből amúgy is kiderül, azt hagyd üresen.</t>
        </is>
      </c>
    </row>
    <row r="20">
      <c r="A20" s="13" t="inlineStr">
        <is>
          <t>2026-10-24: 10 új feladvány (rsz-033 – rsz-042).</t>
        </is>
      </c>
    </row>
    <row r="21">
      <c r="A21" s="13" t="inlineStr">
        <is>
          <t>A Játék lap B2 cellája legördülő lista lett. Új feladvány után bővítsd a Segéd lap E oszlopát és a feladvany_lista nevet.</t>
        </is>
      </c>
    </row>
    <row r="22">
      <c r="A22" s="13" t="inlineStr">
        <is>
          <t>Javítva: a Játék lap képlettartományai csak 24 feladványig értek; az A7 cella az 1. szót ismételte az 5. helyett.</t>
        </is>
      </c>
    </row>
    <row r="23">
      <c r="A23" s="13" t="inlineStr">
        <is>
          <t>Figyelem: rsz-040 "Terjedelem" szava 10 karakter - kétsoros doboz kell hozzá.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tabSelected="1" zoomScaleNormal="100" workbookViewId="0">
      <pane ySplit="1" topLeftCell="A117" activePane="bottomLeft" state="frozen"/>
      <selection pane="bottomLeft" activeCell="B126" sqref="B126:B129"/>
    </sheetView>
  </sheetViews>
  <sheetFormatPr baseColWidth="8" defaultColWidth="8.6640625" defaultRowHeight="14.4"/>
  <cols>
    <col width="14" customWidth="1" min="1" max="1"/>
    <col width="13" customWidth="1" min="2" max="2"/>
    <col width="7" customWidth="1" min="3" max="3"/>
    <col width="42" customWidth="1" min="4" max="4"/>
    <col width="46" customWidth="1" min="5" max="5"/>
    <col width="13" customWidth="1" min="6" max="9"/>
    <col width="22" customWidth="1" min="10" max="10"/>
    <col width="48" customWidth="1" min="11" max="11"/>
  </cols>
  <sheetData>
    <row r="1">
      <c r="A1" s="5" t="inlineStr">
        <is>
          <t>feladvany_id</t>
        </is>
      </c>
      <c r="B1" s="5" t="inlineStr">
        <is>
          <t>kezdes</t>
        </is>
      </c>
      <c r="C1" s="5" t="inlineStr">
        <is>
          <t>szint</t>
        </is>
      </c>
      <c r="D1" s="5" t="inlineStr">
        <is>
          <t>kategoria</t>
        </is>
      </c>
      <c r="E1" s="5" t="inlineStr">
        <is>
          <t>megjegyzes</t>
        </is>
      </c>
      <c r="F1" s="5" t="inlineStr">
        <is>
          <t>szo1</t>
        </is>
      </c>
      <c r="G1" s="5" t="inlineStr">
        <is>
          <t>szo2</t>
        </is>
      </c>
      <c r="H1" s="5" t="inlineStr">
        <is>
          <t>szo3</t>
        </is>
      </c>
      <c r="I1" s="5" t="inlineStr">
        <is>
          <t>szo4</t>
        </is>
      </c>
      <c r="J1" s="5" t="inlineStr">
        <is>
          <t>ellenorzes_regi</t>
        </is>
      </c>
      <c r="K1" s="5" t="inlineStr">
        <is>
          <t>ellenorzes</t>
        </is>
      </c>
    </row>
    <row r="2">
      <c r="A2" s="7" t="inlineStr">
        <is>
          <t>rsz-002</t>
        </is>
      </c>
      <c r="B2" s="14" t="inlineStr">
        <is>
          <t>2026-09-24</t>
        </is>
      </c>
      <c r="C2" s="7" t="n">
        <v>1</v>
      </c>
      <c r="D2" s="8" t="inlineStr">
        <is>
          <t>Magyar levesek</t>
        </is>
      </c>
      <c r="E2" s="8" t="n"/>
      <c r="F2" s="7" t="inlineStr">
        <is>
          <t>Palóc</t>
        </is>
      </c>
      <c r="G2" s="7" t="inlineStr">
        <is>
          <t>Jókai</t>
        </is>
      </c>
      <c r="H2" s="7" t="inlineStr">
        <is>
          <t>Újházi</t>
        </is>
      </c>
      <c r="I2" s="7" t="inlineStr">
        <is>
          <t>Gulyás</t>
        </is>
      </c>
      <c r="J2" s="7" t="n"/>
      <c r="K2" s="8" t="n"/>
    </row>
    <row r="3">
      <c r="A3" s="7" t="inlineStr">
        <is>
          <t>rsz-002</t>
        </is>
      </c>
      <c r="B3" s="7" t="inlineStr">
        <is>
          <t>2026-09-24</t>
        </is>
      </c>
      <c r="C3" s="7" t="n">
        <v>2</v>
      </c>
      <c r="D3" s="8" t="inlineStr">
        <is>
          <t>Budapesti hidak</t>
        </is>
      </c>
      <c r="E3" s="8" t="n"/>
      <c r="F3" s="7" t="inlineStr">
        <is>
          <t>Lánc</t>
        </is>
      </c>
      <c r="G3" s="7" t="inlineStr">
        <is>
          <t>Erzsébet</t>
        </is>
      </c>
      <c r="H3" s="7" t="inlineStr">
        <is>
          <t>Margit</t>
        </is>
      </c>
      <c r="I3" s="7" t="inlineStr">
        <is>
          <t>Szabadság</t>
        </is>
      </c>
      <c r="J3" s="7" t="n"/>
      <c r="K3" s="8" t="n"/>
    </row>
    <row r="4">
      <c r="A4" s="7" t="inlineStr">
        <is>
          <t>rsz-002</t>
        </is>
      </c>
      <c r="B4" s="7" t="inlineStr">
        <is>
          <t>2026-09-24</t>
        </is>
      </c>
      <c r="C4" s="7" t="n">
        <v>3</v>
      </c>
      <c r="D4" s="8" t="inlineStr">
        <is>
          <t>Foglalkozás és gyakori vezetéknév</t>
        </is>
      </c>
      <c r="E4" s="8" t="n"/>
      <c r="F4" s="7" t="inlineStr">
        <is>
          <t>Kovács</t>
        </is>
      </c>
      <c r="G4" s="7" t="inlineStr">
        <is>
          <t>Szabó</t>
        </is>
      </c>
      <c r="H4" s="7" t="inlineStr">
        <is>
          <t>Molnár</t>
        </is>
      </c>
      <c r="I4" s="7" t="inlineStr">
        <is>
          <t>Halász</t>
        </is>
      </c>
      <c r="J4" s="7" t="inlineStr">
        <is>
          <t>Gulyás (foglalkozás és vezetéknév is)</t>
        </is>
      </c>
      <c r="K4" s="8" t="n"/>
    </row>
    <row r="5">
      <c r="A5" s="7" t="inlineStr">
        <is>
          <t>rsz-002</t>
        </is>
      </c>
      <c r="B5" s="7" t="inlineStr">
        <is>
          <t>2026-09-24</t>
        </is>
      </c>
      <c r="C5" s="7" t="n">
        <v>4</v>
      </c>
      <c r="D5" s="8" t="inlineStr">
        <is>
          <t>Amit le lehet tenni</t>
        </is>
      </c>
      <c r="E5" s="8" t="n"/>
      <c r="F5" s="7" t="inlineStr">
        <is>
          <t>Vizsga</t>
        </is>
      </c>
      <c r="G5" s="7" t="inlineStr">
        <is>
          <t>Eskü</t>
        </is>
      </c>
      <c r="H5" s="7" t="inlineStr">
        <is>
          <t>Fegyver</t>
        </is>
      </c>
      <c r="I5" s="7" t="inlineStr">
        <is>
          <t>Lant</t>
        </is>
      </c>
      <c r="J5" s="7" t="n"/>
      <c r="K5" s="8" t="n"/>
    </row>
    <row r="6">
      <c r="A6" s="7" t="inlineStr">
        <is>
          <t>rsz-003</t>
        </is>
      </c>
      <c r="B6" s="7" t="inlineStr">
        <is>
          <t>2026-09-25</t>
        </is>
      </c>
      <c r="C6" s="7" t="n">
        <v>1</v>
      </c>
      <c r="D6" s="8" t="inlineStr">
        <is>
          <t>Csillagjegyek</t>
        </is>
      </c>
      <c r="E6" s="8" t="n"/>
      <c r="F6" s="7" t="inlineStr">
        <is>
          <t>Rák</t>
        </is>
      </c>
      <c r="G6" s="7" t="inlineStr">
        <is>
          <t>Kos</t>
        </is>
      </c>
      <c r="H6" s="7" t="inlineStr">
        <is>
          <t>Bika</t>
        </is>
      </c>
      <c r="I6" s="7" t="inlineStr">
        <is>
          <t>Ikrek</t>
        </is>
      </c>
      <c r="J6" s="7" t="n"/>
      <c r="K6" s="8" t="n"/>
    </row>
    <row r="7">
      <c r="A7" s="7" t="inlineStr">
        <is>
          <t>rsz-003</t>
        </is>
      </c>
      <c r="B7" s="7" t="inlineStr">
        <is>
          <t>2026-09-25</t>
        </is>
      </c>
      <c r="C7" s="7" t="n">
        <v>2</v>
      </c>
      <c r="D7" s="8" t="inlineStr">
        <is>
          <t>Magyar kutyafajták</t>
        </is>
      </c>
      <c r="E7" s="8" t="n"/>
      <c r="F7" s="7" t="inlineStr">
        <is>
          <t>Puli</t>
        </is>
      </c>
      <c r="G7" s="7" t="inlineStr">
        <is>
          <t>Vizsla</t>
        </is>
      </c>
      <c r="H7" s="7" t="inlineStr">
        <is>
          <t>Kuvasz</t>
        </is>
      </c>
      <c r="I7" s="7" t="inlineStr">
        <is>
          <t>Pumi</t>
        </is>
      </c>
      <c r="J7" s="7" t="n"/>
      <c r="K7" s="8" t="n"/>
    </row>
    <row r="8">
      <c r="A8" s="7" t="inlineStr">
        <is>
          <t>rsz-003</t>
        </is>
      </c>
      <c r="B8" s="7" t="inlineStr">
        <is>
          <t>2026-09-25</t>
        </is>
      </c>
      <c r="C8" s="7" t="n">
        <v>3</v>
      </c>
      <c r="D8" s="8" t="inlineStr">
        <is>
          <t>Aminek nyelve van</t>
        </is>
      </c>
      <c r="E8" s="8" t="n"/>
      <c r="F8" s="7" t="inlineStr">
        <is>
          <t>Cipő</t>
        </is>
      </c>
      <c r="G8" s="7" t="inlineStr">
        <is>
          <t>Harang</t>
        </is>
      </c>
      <c r="H8" s="7" t="inlineStr">
        <is>
          <t>Öv</t>
        </is>
      </c>
      <c r="I8" s="7" t="inlineStr">
        <is>
          <t>Mérleg</t>
        </is>
      </c>
      <c r="J8" s="7" t="inlineStr">
        <is>
          <t>Mérleg (csillagjegy is)</t>
        </is>
      </c>
      <c r="K8" s="8" t="n"/>
    </row>
    <row r="9">
      <c r="A9" s="7" t="inlineStr">
        <is>
          <t>rsz-003</t>
        </is>
      </c>
      <c r="B9" s="7" t="inlineStr">
        <is>
          <t>2026-09-25</t>
        </is>
      </c>
      <c r="C9" s="7" t="n">
        <v>4</v>
      </c>
      <c r="D9" s="8" t="inlineStr">
        <is>
          <t>Egy betű cseréjével vármegye</t>
        </is>
      </c>
      <c r="E9" s="8" t="inlineStr">
        <is>
          <t>Fejér, Békés, Pest, Tolna</t>
        </is>
      </c>
      <c r="F9" s="7" t="inlineStr">
        <is>
          <t>Fehér</t>
        </is>
      </c>
      <c r="G9" s="7" t="inlineStr">
        <is>
          <t>Bélés</t>
        </is>
      </c>
      <c r="H9" s="7" t="inlineStr">
        <is>
          <t>Rest</t>
        </is>
      </c>
      <c r="I9" s="7" t="inlineStr">
        <is>
          <t>Volna</t>
        </is>
      </c>
      <c r="J9" s="7" t="n"/>
      <c r="K9" s="8" t="n"/>
    </row>
    <row r="10">
      <c r="A10" s="7" t="inlineStr">
        <is>
          <t>rsz-004</t>
        </is>
      </c>
      <c r="B10" s="7" t="inlineStr">
        <is>
          <t>2026-09-26</t>
        </is>
      </c>
      <c r="C10" s="7" t="n">
        <v>1</v>
      </c>
      <c r="D10" s="8" t="inlineStr">
        <is>
          <t>Magyar kártya színei</t>
        </is>
      </c>
      <c r="E10" s="8" t="n"/>
      <c r="F10" s="7" t="inlineStr">
        <is>
          <t>Makk</t>
        </is>
      </c>
      <c r="G10" s="7" t="inlineStr">
        <is>
          <t>Tök</t>
        </is>
      </c>
      <c r="H10" s="7" t="inlineStr">
        <is>
          <t>Zöld</t>
        </is>
      </c>
      <c r="I10" s="7" t="inlineStr">
        <is>
          <t>Piros</t>
        </is>
      </c>
      <c r="J10" s="7" t="n"/>
      <c r="K10" s="8" t="n"/>
    </row>
    <row r="11">
      <c r="A11" s="7" t="inlineStr">
        <is>
          <t>rsz-004</t>
        </is>
      </c>
      <c r="B11" s="7" t="inlineStr">
        <is>
          <t>2026-09-26</t>
        </is>
      </c>
      <c r="C11" s="7" t="n">
        <v>2</v>
      </c>
      <c r="D11" s="8" t="inlineStr">
        <is>
          <t>Pálinkafajták</t>
        </is>
      </c>
      <c r="E11" s="8" t="n"/>
      <c r="F11" s="7" t="inlineStr">
        <is>
          <t>Barack</t>
        </is>
      </c>
      <c r="G11" s="7" t="inlineStr">
        <is>
          <t>Szilva</t>
        </is>
      </c>
      <c r="H11" s="7" t="inlineStr">
        <is>
          <t>Törköly</t>
        </is>
      </c>
      <c r="I11" s="7" t="inlineStr">
        <is>
          <t>Kökény</t>
        </is>
      </c>
      <c r="J11" s="7" t="n"/>
      <c r="K11" s="8" t="n"/>
    </row>
    <row r="12" ht="27.6" customHeight="1">
      <c r="A12" s="7" t="inlineStr">
        <is>
          <t>rsz-004</t>
        </is>
      </c>
      <c r="B12" s="7" t="inlineStr">
        <is>
          <t>2026-09-26</t>
        </is>
      </c>
      <c r="C12" s="7" t="n">
        <v>3</v>
      </c>
      <c r="D12" s="8" t="inlineStr">
        <is>
          <t>Ételnév, ami személynévből jön</t>
        </is>
      </c>
      <c r="E12" s="8" t="inlineStr">
        <is>
          <t>Dobos C. József, Rigó Jancsi, Esterházy Pál, Gerbeaud Emil</t>
        </is>
      </c>
      <c r="F12" s="7" t="inlineStr">
        <is>
          <t>Dobos</t>
        </is>
      </c>
      <c r="G12" s="7" t="inlineStr">
        <is>
          <t>Rigó</t>
        </is>
      </c>
      <c r="H12" s="7" t="inlineStr">
        <is>
          <t>Esterházy</t>
        </is>
      </c>
      <c r="I12" s="7" t="inlineStr">
        <is>
          <t>Zserbó</t>
        </is>
      </c>
      <c r="J12" s="7" t="n"/>
      <c r="K12" s="8" t="n"/>
    </row>
    <row r="13">
      <c r="A13" s="7" t="inlineStr">
        <is>
          <t>rsz-004</t>
        </is>
      </c>
      <c r="B13" s="7" t="inlineStr">
        <is>
          <t>2026-09-26</t>
        </is>
      </c>
      <c r="C13" s="7" t="n">
        <v>4</v>
      </c>
      <c r="D13" s="8" t="inlineStr">
        <is>
          <t>Amit el lehet sütni</t>
        </is>
      </c>
      <c r="E13" s="8" t="n"/>
      <c r="F13" s="7" t="inlineStr">
        <is>
          <t>Poén</t>
        </is>
      </c>
      <c r="G13" s="7" t="inlineStr">
        <is>
          <t>Puska</t>
        </is>
      </c>
      <c r="H13" s="7" t="inlineStr">
        <is>
          <t>Vicc</t>
        </is>
      </c>
      <c r="I13" s="7" t="inlineStr">
        <is>
          <t>Ágyú</t>
        </is>
      </c>
      <c r="J13" s="7" t="n"/>
      <c r="K13" s="8" t="n"/>
    </row>
    <row r="14">
      <c r="A14" s="7" t="inlineStr">
        <is>
          <t>rsz-005</t>
        </is>
      </c>
      <c r="B14" s="7" t="inlineStr">
        <is>
          <t>2026-09-27</t>
        </is>
      </c>
      <c r="C14" s="7" t="n">
        <v>1</v>
      </c>
      <c r="D14" s="8" t="inlineStr">
        <is>
          <t>Magyar rajzfilmfigurák</t>
        </is>
      </c>
      <c r="E14" s="8" t="n"/>
      <c r="F14" s="7" t="inlineStr">
        <is>
          <t>Vuk</t>
        </is>
      </c>
      <c r="G14" s="7" t="inlineStr">
        <is>
          <t>Süsü</t>
        </is>
      </c>
      <c r="H14" s="7" t="inlineStr">
        <is>
          <t>Frakk</t>
        </is>
      </c>
      <c r="I14" s="7" t="inlineStr">
        <is>
          <t>Kukori</t>
        </is>
      </c>
      <c r="J14" s="7" t="n"/>
      <c r="K14" s="8" t="n"/>
    </row>
    <row r="15">
      <c r="A15" s="7" t="inlineStr">
        <is>
          <t>rsz-005</t>
        </is>
      </c>
      <c r="B15" s="7" t="inlineStr">
        <is>
          <t>2026-09-27</t>
        </is>
      </c>
      <c r="C15" s="7" t="n">
        <v>2</v>
      </c>
      <c r="D15" s="8" t="inlineStr">
        <is>
          <t>___ + ÓRA</t>
        </is>
      </c>
      <c r="E15" s="8" t="n"/>
      <c r="F15" s="7" t="inlineStr">
        <is>
          <t>Nap</t>
        </is>
      </c>
      <c r="G15" s="7" t="inlineStr">
        <is>
          <t>Homok</t>
        </is>
      </c>
      <c r="H15" s="7" t="inlineStr">
        <is>
          <t>Inga</t>
        </is>
      </c>
      <c r="I15" s="7" t="inlineStr">
        <is>
          <t>Torony</t>
        </is>
      </c>
      <c r="J15" s="7" t="n"/>
      <c r="K15" s="8" t="n"/>
    </row>
    <row r="16">
      <c r="A16" s="7" t="inlineStr">
        <is>
          <t>rsz-005</t>
        </is>
      </c>
      <c r="B16" s="7" t="inlineStr">
        <is>
          <t>2026-09-27</t>
        </is>
      </c>
      <c r="C16" s="7" t="n">
        <v>3</v>
      </c>
      <c r="D16" s="8" t="inlineStr">
        <is>
          <t>Keresztnévvel kezdődik</t>
        </is>
      </c>
      <c r="E16" s="8" t="inlineStr">
        <is>
          <t>Kata, Lili, Andor, Ferenc</t>
        </is>
      </c>
      <c r="F16" s="7" t="inlineStr">
        <is>
          <t>Katapult</t>
        </is>
      </c>
      <c r="G16" s="7" t="inlineStr">
        <is>
          <t>Liliom</t>
        </is>
      </c>
      <c r="H16" s="7" t="inlineStr">
        <is>
          <t>Andorra</t>
        </is>
      </c>
      <c r="I16" s="7" t="inlineStr">
        <is>
          <t>Ferences</t>
        </is>
      </c>
      <c r="J16" s="7" t="n"/>
      <c r="K16" s="8" t="n"/>
    </row>
    <row r="17">
      <c r="A17" s="7" t="inlineStr">
        <is>
          <t>rsz-005</t>
        </is>
      </c>
      <c r="B17" s="7" t="inlineStr">
        <is>
          <t>2026-09-27</t>
        </is>
      </c>
      <c r="C17" s="7" t="n">
        <v>4</v>
      </c>
      <c r="D17" s="8" t="inlineStr">
        <is>
          <t>Visszafelé olvasva is magyar szó</t>
        </is>
      </c>
      <c r="E17" s="8" t="inlineStr">
        <is>
          <t>rak, pék, tál, rét</t>
        </is>
      </c>
      <c r="F17" s="7" t="inlineStr">
        <is>
          <t>Kar</t>
        </is>
      </c>
      <c r="G17" s="7" t="inlineStr">
        <is>
          <t>Kép</t>
        </is>
      </c>
      <c r="H17" s="7" t="inlineStr">
        <is>
          <t>Lát</t>
        </is>
      </c>
      <c r="I17" s="7" t="inlineStr">
        <is>
          <t>Tér</t>
        </is>
      </c>
      <c r="J17" s="7" t="inlineStr">
        <is>
          <t>Kar (karóra)</t>
        </is>
      </c>
      <c r="K17" s="8" t="n"/>
    </row>
    <row r="18">
      <c r="A18" s="7" t="inlineStr">
        <is>
          <t>rsz-006</t>
        </is>
      </c>
      <c r="B18" s="7" t="inlineStr">
        <is>
          <t>2026-09-28</t>
        </is>
      </c>
      <c r="C18" s="7" t="n">
        <v>1</v>
      </c>
      <c r="D18" s="8" t="inlineStr">
        <is>
          <t>Sakkfigurák</t>
        </is>
      </c>
      <c r="E18" s="8" t="n"/>
      <c r="F18" s="7" t="inlineStr">
        <is>
          <t>Bástya</t>
        </is>
      </c>
      <c r="G18" s="7" t="inlineStr">
        <is>
          <t>Futó</t>
        </is>
      </c>
      <c r="H18" s="7" t="inlineStr">
        <is>
          <t>Huszár</t>
        </is>
      </c>
      <c r="I18" s="7" t="inlineStr">
        <is>
          <t>Vezér</t>
        </is>
      </c>
      <c r="J18" s="7" t="n"/>
      <c r="K18" s="8" t="n"/>
    </row>
    <row r="19">
      <c r="A19" s="7" t="inlineStr">
        <is>
          <t>rsz-006</t>
        </is>
      </c>
      <c r="B19" s="7" t="inlineStr">
        <is>
          <t>2026-09-28</t>
        </is>
      </c>
      <c r="C19" s="7" t="n">
        <v>2</v>
      </c>
      <c r="D19" s="8" t="inlineStr">
        <is>
          <t>Magyar folyók</t>
        </is>
      </c>
      <c r="E19" s="8" t="n"/>
      <c r="F19" s="7" t="inlineStr">
        <is>
          <t>Tisza</t>
        </is>
      </c>
      <c r="G19" s="7" t="inlineStr">
        <is>
          <t>Dráva</t>
        </is>
      </c>
      <c r="H19" s="7" t="inlineStr">
        <is>
          <t>Rába</t>
        </is>
      </c>
      <c r="I19" s="7" t="inlineStr">
        <is>
          <t>Sajó</t>
        </is>
      </c>
      <c r="J19" s="7" t="n"/>
      <c r="K19" s="8" t="n"/>
    </row>
    <row r="20">
      <c r="A20" s="7" t="inlineStr">
        <is>
          <t>rsz-006</t>
        </is>
      </c>
      <c r="B20" s="7" t="inlineStr">
        <is>
          <t>2026-09-28</t>
        </is>
      </c>
      <c r="C20" s="7" t="n">
        <v>3</v>
      </c>
      <c r="D20" s="8" t="inlineStr">
        <is>
          <t>Amit fel lehet venni</t>
        </is>
      </c>
      <c r="E20" s="8" t="n"/>
      <c r="F20" s="7" t="inlineStr">
        <is>
          <t>Telefon</t>
        </is>
      </c>
      <c r="G20" s="7" t="inlineStr">
        <is>
          <t>Kabát</t>
        </is>
      </c>
      <c r="H20" s="7" t="inlineStr">
        <is>
          <t>Kölcsön</t>
        </is>
      </c>
      <c r="I20" s="7" t="inlineStr">
        <is>
          <t>Verseny</t>
        </is>
      </c>
      <c r="J20" s="7" t="n"/>
      <c r="K20" s="8" t="n"/>
    </row>
    <row r="21">
      <c r="A21" s="7" t="inlineStr">
        <is>
          <t>rsz-006</t>
        </is>
      </c>
      <c r="B21" s="7" t="inlineStr">
        <is>
          <t>2026-09-28</t>
        </is>
      </c>
      <c r="C21" s="7" t="n">
        <v>4</v>
      </c>
      <c r="D21" s="8" t="inlineStr">
        <is>
          <t>Amit meg lehet oldani</t>
        </is>
      </c>
      <c r="E21" s="8" t="n"/>
      <c r="F21" s="7" t="inlineStr">
        <is>
          <t>Rejtvény</t>
        </is>
      </c>
      <c r="G21" s="7" t="inlineStr">
        <is>
          <t>Feladat</t>
        </is>
      </c>
      <c r="H21" s="7" t="inlineStr">
        <is>
          <t>Csomó</t>
        </is>
      </c>
      <c r="I21" s="7" t="inlineStr">
        <is>
          <t>Cipőfűző</t>
        </is>
      </c>
      <c r="J21" s="7" t="n"/>
      <c r="K21" s="8" t="n"/>
    </row>
    <row r="22">
      <c r="A22" s="7" t="inlineStr">
        <is>
          <t>rsz-007</t>
        </is>
      </c>
      <c r="B22" s="7" t="inlineStr">
        <is>
          <t>2026-09-29</t>
        </is>
      </c>
      <c r="C22" s="7" t="n">
        <v>1</v>
      </c>
      <c r="D22" s="8" t="inlineStr">
        <is>
          <t>Madarak</t>
        </is>
      </c>
      <c r="E22" s="8" t="n"/>
      <c r="F22" s="7" t="inlineStr">
        <is>
          <t>Gólya</t>
        </is>
      </c>
      <c r="G22" s="7" t="inlineStr">
        <is>
          <t>Fecske</t>
        </is>
      </c>
      <c r="H22" s="7" t="inlineStr">
        <is>
          <t>Bagoly</t>
        </is>
      </c>
      <c r="I22" s="7" t="inlineStr">
        <is>
          <t>Pinty</t>
        </is>
      </c>
      <c r="J22" s="7" t="n"/>
      <c r="K22" s="8" t="n"/>
    </row>
    <row r="23">
      <c r="A23" s="7" t="inlineStr">
        <is>
          <t>rsz-007</t>
        </is>
      </c>
      <c r="B23" s="7" t="inlineStr">
        <is>
          <t>2026-09-29</t>
        </is>
      </c>
      <c r="C23" s="7" t="n">
        <v>2</v>
      </c>
      <c r="D23" s="8" t="inlineStr">
        <is>
          <t>___ + KÖNYV</t>
        </is>
      </c>
      <c r="E23" s="8" t="n"/>
      <c r="F23" s="7" t="inlineStr">
        <is>
          <t>Tan</t>
        </is>
      </c>
      <c r="G23" s="7" t="inlineStr">
        <is>
          <t>Szak</t>
        </is>
      </c>
      <c r="H23" s="7" t="inlineStr">
        <is>
          <t>Mese</t>
        </is>
      </c>
      <c r="I23" s="7" t="inlineStr">
        <is>
          <t>Zseb</t>
        </is>
      </c>
      <c r="J23" s="7" t="n"/>
      <c r="K23" s="8" t="n"/>
    </row>
    <row r="24">
      <c r="A24" s="7" t="inlineStr">
        <is>
          <t>rsz-007</t>
        </is>
      </c>
      <c r="B24" s="7" t="inlineStr">
        <is>
          <t>2026-09-29</t>
        </is>
      </c>
      <c r="C24" s="7" t="n">
        <v>3</v>
      </c>
      <c r="D24" s="8" t="inlineStr">
        <is>
          <t>Aminek füle van</t>
        </is>
      </c>
      <c r="E24" s="8" t="n"/>
      <c r="F24" s="7" t="inlineStr">
        <is>
          <t>Bögre</t>
        </is>
      </c>
      <c r="G24" s="7" t="inlineStr">
        <is>
          <t>Kosár</t>
        </is>
      </c>
      <c r="H24" s="7" t="inlineStr">
        <is>
          <t>Fazék</t>
        </is>
      </c>
      <c r="I24" s="7" t="inlineStr">
        <is>
          <t>Zsák</t>
        </is>
      </c>
      <c r="J24" s="7" t="n"/>
      <c r="K24" s="8" t="n"/>
    </row>
    <row r="25">
      <c r="A25" s="7" t="inlineStr">
        <is>
          <t>rsz-007</t>
        </is>
      </c>
      <c r="B25" s="7" t="inlineStr">
        <is>
          <t>2026-09-29</t>
        </is>
      </c>
      <c r="C25" s="7" t="n">
        <v>4</v>
      </c>
      <c r="D25" s="8" t="inlineStr">
        <is>
          <t>Pénznemek, amik mást is jelentenek</t>
        </is>
      </c>
      <c r="E25" s="8" t="n"/>
      <c r="F25" s="7" t="inlineStr">
        <is>
          <t>Font</t>
        </is>
      </c>
      <c r="G25" s="7" t="inlineStr">
        <is>
          <t>Márka</t>
        </is>
      </c>
      <c r="H25" s="7" t="inlineStr">
        <is>
          <t>Korona</t>
        </is>
      </c>
      <c r="I25" s="7" t="inlineStr">
        <is>
          <t>Frank</t>
        </is>
      </c>
      <c r="J25" s="7" t="n"/>
      <c r="K25" s="8" t="n"/>
    </row>
    <row r="26">
      <c r="A26" s="7" t="inlineStr">
        <is>
          <t>rsz-008</t>
        </is>
      </c>
      <c r="B26" s="7" t="inlineStr">
        <is>
          <t>2026-09-30</t>
        </is>
      </c>
      <c r="C26" s="7" t="n">
        <v>1</v>
      </c>
      <c r="D26" s="8" t="inlineStr">
        <is>
          <t>Gombák</t>
        </is>
      </c>
      <c r="E26" s="8" t="n"/>
      <c r="F26" s="7" t="inlineStr">
        <is>
          <t>Vargánya</t>
        </is>
      </c>
      <c r="G26" s="7" t="inlineStr">
        <is>
          <t>Csiperke</t>
        </is>
      </c>
      <c r="H26" s="7" t="inlineStr">
        <is>
          <t>Galóca</t>
        </is>
      </c>
      <c r="I26" s="7" t="inlineStr">
        <is>
          <t>Rizike</t>
        </is>
      </c>
      <c r="J26" s="7" t="n"/>
      <c r="K26" s="8" t="n"/>
    </row>
    <row r="27">
      <c r="A27" s="7" t="inlineStr">
        <is>
          <t>rsz-008</t>
        </is>
      </c>
      <c r="B27" s="7" t="inlineStr">
        <is>
          <t>2026-09-30</t>
        </is>
      </c>
      <c r="C27" s="7" t="n">
        <v>2</v>
      </c>
      <c r="D27" s="8" t="inlineStr">
        <is>
          <t>Balatoni települések</t>
        </is>
      </c>
      <c r="E27" s="8" t="n"/>
      <c r="F27" s="7" t="inlineStr">
        <is>
          <t>Tihany</t>
        </is>
      </c>
      <c r="G27" s="7" t="inlineStr">
        <is>
          <t>Siófok</t>
        </is>
      </c>
      <c r="H27" s="7" t="inlineStr">
        <is>
          <t>Fonyód</t>
        </is>
      </c>
      <c r="I27" s="7" t="inlineStr">
        <is>
          <t>Keszthely</t>
        </is>
      </c>
      <c r="J27" s="7" t="n"/>
      <c r="K27" s="8" t="n"/>
    </row>
    <row r="28">
      <c r="A28" s="7" t="inlineStr">
        <is>
          <t>rsz-008</t>
        </is>
      </c>
      <c r="B28" s="7" t="inlineStr">
        <is>
          <t>2026-09-30</t>
        </is>
      </c>
      <c r="C28" s="7" t="n">
        <v>3</v>
      </c>
      <c r="D28" s="8" t="inlineStr">
        <is>
          <t>Amit el lehet kapni</t>
        </is>
      </c>
      <c r="E28" s="8" t="n"/>
      <c r="F28" s="7" t="inlineStr">
        <is>
          <t>Labda</t>
        </is>
      </c>
      <c r="G28" s="7" t="inlineStr">
        <is>
          <t>Nátha</t>
        </is>
      </c>
      <c r="H28" s="7" t="inlineStr">
        <is>
          <t>Fonál</t>
        </is>
      </c>
      <c r="I28" s="7" t="inlineStr">
        <is>
          <t>Tolvaj</t>
        </is>
      </c>
      <c r="J28" s="7" t="n"/>
      <c r="K28" s="8" t="n"/>
    </row>
    <row r="29">
      <c r="A29" s="7" t="inlineStr">
        <is>
          <t>rsz-008</t>
        </is>
      </c>
      <c r="B29" s="7" t="inlineStr">
        <is>
          <t>2026-09-30</t>
        </is>
      </c>
      <c r="C29" s="7" t="n">
        <v>4</v>
      </c>
      <c r="D29" s="8" t="inlineStr">
        <is>
          <t>Magyar városok anagrammái</t>
        </is>
      </c>
      <c r="E29" s="8" t="inlineStr">
        <is>
          <t>Eger, Gyula, Makó, Szeged</t>
        </is>
      </c>
      <c r="F29" s="7" t="inlineStr">
        <is>
          <t>Rege</t>
        </is>
      </c>
      <c r="G29" s="7" t="inlineStr">
        <is>
          <t>Gulya</t>
        </is>
      </c>
      <c r="H29" s="7" t="inlineStr">
        <is>
          <t>Kóma</t>
        </is>
      </c>
      <c r="I29" s="7" t="inlineStr">
        <is>
          <t>Degesz</t>
        </is>
      </c>
      <c r="J29" s="7" t="n"/>
      <c r="K29" s="8" t="n"/>
    </row>
    <row r="30">
      <c r="A30" s="7" t="inlineStr">
        <is>
          <t>rsz-009</t>
        </is>
      </c>
      <c r="B30" s="7" t="inlineStr">
        <is>
          <t>2026-10-01</t>
        </is>
      </c>
      <c r="C30" s="7" t="n">
        <v>1</v>
      </c>
      <c r="D30" s="8" t="inlineStr">
        <is>
          <t>Fűszerek</t>
        </is>
      </c>
      <c r="E30" s="8" t="n"/>
      <c r="F30" s="7" t="inlineStr">
        <is>
          <t>Kapor</t>
        </is>
      </c>
      <c r="G30" s="7" t="inlineStr">
        <is>
          <t>Bors</t>
        </is>
      </c>
      <c r="H30" s="7" t="inlineStr">
        <is>
          <t>Kömény</t>
        </is>
      </c>
      <c r="I30" s="7" t="inlineStr">
        <is>
          <t>Babér</t>
        </is>
      </c>
      <c r="J30" s="7" t="n"/>
      <c r="K30" s="8" t="n"/>
    </row>
    <row r="31">
      <c r="A31" s="7" t="inlineStr">
        <is>
          <t>rsz-009</t>
        </is>
      </c>
      <c r="B31" s="7" t="inlineStr">
        <is>
          <t>2026-10-01</t>
        </is>
      </c>
      <c r="C31" s="7" t="n">
        <v>2</v>
      </c>
      <c r="D31" s="8" t="inlineStr">
        <is>
          <t>SZÉL + ___</t>
        </is>
      </c>
      <c r="E31" s="8" t="n"/>
      <c r="F31" s="7" t="inlineStr">
        <is>
          <t>Csend</t>
        </is>
      </c>
      <c r="G31" s="7" t="inlineStr">
        <is>
          <t>Vihar</t>
        </is>
      </c>
      <c r="H31" s="7" t="inlineStr">
        <is>
          <t>Kakas</t>
        </is>
      </c>
      <c r="I31" s="7" t="inlineStr">
        <is>
          <t>Malom</t>
        </is>
      </c>
      <c r="J31" s="7" t="n"/>
      <c r="K31" s="8" t="n"/>
    </row>
    <row r="32">
      <c r="A32" s="7" t="inlineStr">
        <is>
          <t>rsz-009</t>
        </is>
      </c>
      <c r="B32" s="7" t="inlineStr">
        <is>
          <t>2026-10-01</t>
        </is>
      </c>
      <c r="C32" s="7" t="n">
        <v>3</v>
      </c>
      <c r="D32" s="8" t="inlineStr">
        <is>
          <t>Oda-vissza ugyanaz</t>
        </is>
      </c>
      <c r="E32" s="8" t="n"/>
      <c r="F32" s="7" t="inlineStr">
        <is>
          <t>Görög</t>
        </is>
      </c>
      <c r="G32" s="7" t="inlineStr">
        <is>
          <t>Kerek</t>
        </is>
      </c>
      <c r="H32" s="7" t="inlineStr">
        <is>
          <t>Pap</t>
        </is>
      </c>
      <c r="I32" s="7" t="inlineStr">
        <is>
          <t>Sas</t>
        </is>
      </c>
      <c r="J32" s="7" t="n"/>
      <c r="K32" s="8" t="n"/>
    </row>
    <row r="33">
      <c r="A33" s="7" t="inlineStr">
        <is>
          <t>rsz-009</t>
        </is>
      </c>
      <c r="B33" s="7" t="inlineStr">
        <is>
          <t>2026-10-01</t>
        </is>
      </c>
      <c r="C33" s="7" t="n">
        <v>4</v>
      </c>
      <c r="D33" s="8" t="inlineStr">
        <is>
          <t>___ + LÁB</t>
        </is>
      </c>
      <c r="E33" s="8" t="n"/>
      <c r="F33" s="7" t="inlineStr">
        <is>
          <t>Szék</t>
        </is>
      </c>
      <c r="G33" s="7" t="inlineStr">
        <is>
          <t>Asztal</t>
        </is>
      </c>
      <c r="H33" s="7" t="inlineStr">
        <is>
          <t>Kamat</t>
        </is>
      </c>
      <c r="I33" s="7" t="inlineStr">
        <is>
          <t>Gólya</t>
        </is>
      </c>
      <c r="J33" s="7" t="n"/>
      <c r="K33" s="8" t="n"/>
    </row>
    <row r="34">
      <c r="A34" s="7" t="inlineStr">
        <is>
          <t>rsz-010</t>
        </is>
      </c>
      <c r="B34" s="7" t="inlineStr">
        <is>
          <t>2026-10-02</t>
        </is>
      </c>
      <c r="C34" s="7" t="n">
        <v>1</v>
      </c>
      <c r="D34" s="8" t="inlineStr">
        <is>
          <t>Magyar sajtok</t>
        </is>
      </c>
      <c r="E34" s="8" t="n"/>
      <c r="F34" s="7" t="inlineStr">
        <is>
          <t>Trappista</t>
        </is>
      </c>
      <c r="G34" s="7" t="inlineStr">
        <is>
          <t>Pannónia</t>
        </is>
      </c>
      <c r="H34" s="7" t="inlineStr">
        <is>
          <t>Óvári</t>
        </is>
      </c>
      <c r="I34" s="7" t="inlineStr">
        <is>
          <t>Karaván</t>
        </is>
      </c>
      <c r="J34" s="7" t="n"/>
      <c r="K34" s="8" t="n"/>
    </row>
    <row r="35">
      <c r="A35" s="7" t="inlineStr">
        <is>
          <t>rsz-010</t>
        </is>
      </c>
      <c r="B35" s="7" t="inlineStr">
        <is>
          <t>2026-10-02</t>
        </is>
      </c>
      <c r="C35" s="7" t="n">
        <v>2</v>
      </c>
      <c r="D35" s="8" t="inlineStr">
        <is>
          <t>SZEM + ___</t>
        </is>
      </c>
      <c r="E35" s="8" t="n"/>
      <c r="F35" s="7" t="inlineStr">
        <is>
          <t>Üveg</t>
        </is>
      </c>
      <c r="G35" s="7" t="inlineStr">
        <is>
          <t>Héj</t>
        </is>
      </c>
      <c r="H35" s="7" t="inlineStr">
        <is>
          <t>Golyó</t>
        </is>
      </c>
      <c r="I35" s="7" t="inlineStr">
        <is>
          <t>Tanú</t>
        </is>
      </c>
      <c r="J35" s="7" t="n"/>
      <c r="K35" s="8" t="n"/>
    </row>
    <row r="36">
      <c r="A36" s="7" t="inlineStr">
        <is>
          <t>rsz-010</t>
        </is>
      </c>
      <c r="B36" s="7" t="inlineStr">
        <is>
          <t>2026-10-02</t>
        </is>
      </c>
      <c r="C36" s="7" t="n">
        <v>3</v>
      </c>
      <c r="D36" s="8" t="inlineStr">
        <is>
          <t>Amit be lehet tartani</t>
        </is>
      </c>
      <c r="E36" s="8" t="n"/>
      <c r="F36" s="7" t="inlineStr">
        <is>
          <t>Szó</t>
        </is>
      </c>
      <c r="G36" s="7" t="inlineStr">
        <is>
          <t>Ígéret</t>
        </is>
      </c>
      <c r="H36" s="7" t="inlineStr">
        <is>
          <t>Szabály</t>
        </is>
      </c>
      <c r="I36" s="7" t="inlineStr">
        <is>
          <t>Távolság</t>
        </is>
      </c>
      <c r="J36" s="7" t="n"/>
      <c r="K36" s="8" t="n"/>
    </row>
    <row r="37">
      <c r="A37" s="7" t="inlineStr">
        <is>
          <t>rsz-010</t>
        </is>
      </c>
      <c r="B37" s="7" t="inlineStr">
        <is>
          <t>2026-10-02</t>
        </is>
      </c>
      <c r="C37" s="7" t="n">
        <v>4</v>
      </c>
      <c r="D37" s="8" t="inlineStr">
        <is>
          <t>Városok, amik köznevek is</t>
        </is>
      </c>
      <c r="E37" s="8" t="n"/>
      <c r="F37" s="7" t="inlineStr">
        <is>
          <t>Tata</t>
        </is>
      </c>
      <c r="G37" s="7" t="inlineStr">
        <is>
          <t>Baja</t>
        </is>
      </c>
      <c r="H37" s="7" t="inlineStr">
        <is>
          <t>Gyula</t>
        </is>
      </c>
      <c r="I37" s="7" t="inlineStr">
        <is>
          <t>Hajós</t>
        </is>
      </c>
      <c r="J37" s="7" t="n"/>
      <c r="K37" s="8" t="n"/>
    </row>
    <row r="38">
      <c r="A38" s="7" t="inlineStr">
        <is>
          <t>rsz-011</t>
        </is>
      </c>
      <c r="B38" s="7" t="inlineStr">
        <is>
          <t>2026-10-03</t>
        </is>
      </c>
      <c r="C38" s="7" t="n">
        <v>1</v>
      </c>
      <c r="D38" s="8" t="inlineStr">
        <is>
          <t>Budapesti metrómegállók</t>
        </is>
      </c>
      <c r="E38" s="8" t="n"/>
      <c r="F38" s="7" t="inlineStr">
        <is>
          <t>Astoria</t>
        </is>
      </c>
      <c r="G38" s="7" t="inlineStr">
        <is>
          <t>Blaha</t>
        </is>
      </c>
      <c r="H38" s="7" t="inlineStr">
        <is>
          <t>Opera</t>
        </is>
      </c>
      <c r="I38" s="7" t="inlineStr">
        <is>
          <t>Lehel</t>
        </is>
      </c>
      <c r="J38" s="7" t="n"/>
      <c r="K38" s="8" t="n"/>
    </row>
    <row r="39">
      <c r="A39" s="7" t="inlineStr">
        <is>
          <t>rsz-011</t>
        </is>
      </c>
      <c r="B39" s="7" t="inlineStr">
        <is>
          <t>2026-10-03</t>
        </is>
      </c>
      <c r="C39" s="7" t="n">
        <v>2</v>
      </c>
      <c r="D39" s="8" t="inlineStr">
        <is>
          <t>Magyar kártyajátékok</t>
        </is>
      </c>
      <c r="E39" s="8" t="n"/>
      <c r="F39" s="7" t="inlineStr">
        <is>
          <t>Ulti</t>
        </is>
      </c>
      <c r="G39" s="7" t="inlineStr">
        <is>
          <t>Römi</t>
        </is>
      </c>
      <c r="H39" s="7" t="inlineStr">
        <is>
          <t>Makaó</t>
        </is>
      </c>
      <c r="I39" s="7" t="inlineStr">
        <is>
          <t>Snapszer</t>
        </is>
      </c>
      <c r="J39" s="7" t="n"/>
      <c r="K39" s="8" t="n"/>
    </row>
    <row r="40">
      <c r="A40" s="7" t="inlineStr">
        <is>
          <t>rsz-011</t>
        </is>
      </c>
      <c r="B40" s="7" t="inlineStr">
        <is>
          <t>2026-10-03</t>
        </is>
      </c>
      <c r="C40" s="7" t="n">
        <v>3</v>
      </c>
      <c r="D40" s="8" t="inlineStr">
        <is>
          <t>Amit fel lehet állítani</t>
        </is>
      </c>
      <c r="E40" s="8" t="n"/>
      <c r="F40" s="7" t="inlineStr">
        <is>
          <t>Rekord</t>
        </is>
      </c>
      <c r="G40" s="7" t="inlineStr">
        <is>
          <t>Sátor</t>
        </is>
      </c>
      <c r="H40" s="7" t="inlineStr">
        <is>
          <t>Csapat</t>
        </is>
      </c>
      <c r="I40" s="7" t="inlineStr">
        <is>
          <t>Szobor</t>
        </is>
      </c>
      <c r="J40" s="7" t="n"/>
      <c r="K40" s="8" t="n"/>
    </row>
    <row r="41" ht="27.6" customHeight="1">
      <c r="A41" s="7" t="inlineStr">
        <is>
          <t>rsz-011</t>
        </is>
      </c>
      <c r="B41" s="7" t="inlineStr">
        <is>
          <t>2026-10-03</t>
        </is>
      </c>
      <c r="C41" s="7" t="n">
        <v>4</v>
      </c>
      <c r="D41" s="8" t="inlineStr">
        <is>
          <t>Ikerszavak első tagja</t>
        </is>
      </c>
      <c r="E41" s="8" t="inlineStr">
        <is>
          <t>csiga-biga, tarka-barka, dimbes-dombos, ripsz-ropsz</t>
        </is>
      </c>
      <c r="F41" s="7" t="inlineStr">
        <is>
          <t>Csiga</t>
        </is>
      </c>
      <c r="G41" s="7" t="inlineStr">
        <is>
          <t>Tarka</t>
        </is>
      </c>
      <c r="H41" s="7" t="inlineStr">
        <is>
          <t>Dimbes</t>
        </is>
      </c>
      <c r="I41" s="7" t="inlineStr">
        <is>
          <t>Ripsz</t>
        </is>
      </c>
      <c r="J41" s="7" t="n"/>
      <c r="K41" s="8" t="n"/>
    </row>
    <row r="42">
      <c r="A42" s="7" t="inlineStr">
        <is>
          <t>rsz-012</t>
        </is>
      </c>
      <c r="B42" s="7" t="inlineStr">
        <is>
          <t>2026-10-04</t>
        </is>
      </c>
      <c r="C42" s="7" t="n">
        <v>1</v>
      </c>
      <c r="D42" s="8" t="inlineStr">
        <is>
          <t>Halak</t>
        </is>
      </c>
      <c r="E42" s="8" t="n"/>
      <c r="F42" s="7" t="inlineStr">
        <is>
          <t>Ponty</t>
        </is>
      </c>
      <c r="G42" s="7" t="inlineStr">
        <is>
          <t>Harcsa</t>
        </is>
      </c>
      <c r="H42" s="7" t="inlineStr">
        <is>
          <t>Keszeg</t>
        </is>
      </c>
      <c r="I42" s="7" t="inlineStr">
        <is>
          <t>Csuka</t>
        </is>
      </c>
      <c r="J42" s="7" t="n"/>
      <c r="K42" s="8" t="n"/>
    </row>
    <row r="43">
      <c r="A43" s="7" t="inlineStr">
        <is>
          <t>rsz-012</t>
        </is>
      </c>
      <c r="B43" s="7" t="inlineStr">
        <is>
          <t>2026-10-04</t>
        </is>
      </c>
      <c r="C43" s="7" t="n">
        <v>2</v>
      </c>
      <c r="D43" s="8" t="inlineStr">
        <is>
          <t>TŰZ + ___</t>
        </is>
      </c>
      <c r="E43" s="8" t="n"/>
      <c r="F43" s="7" t="inlineStr">
        <is>
          <t>Oltó</t>
        </is>
      </c>
      <c r="G43" s="7" t="inlineStr">
        <is>
          <t>Fal</t>
        </is>
      </c>
      <c r="H43" s="7" t="inlineStr">
        <is>
          <t>Csap</t>
        </is>
      </c>
      <c r="I43" s="7" t="inlineStr">
        <is>
          <t>Veszély</t>
        </is>
      </c>
      <c r="J43" s="7" t="n"/>
      <c r="K43" s="8" t="n"/>
    </row>
    <row r="44">
      <c r="A44" s="7" t="inlineStr">
        <is>
          <t>rsz-012</t>
        </is>
      </c>
      <c r="B44" s="7" t="inlineStr">
        <is>
          <t>2026-10-04</t>
        </is>
      </c>
      <c r="C44" s="7" t="n">
        <v>3</v>
      </c>
      <c r="D44" s="8" t="inlineStr">
        <is>
          <t>Aminek foga van</t>
        </is>
      </c>
      <c r="E44" s="8" t="n"/>
      <c r="F44" s="7" t="inlineStr">
        <is>
          <t>Fésű</t>
        </is>
      </c>
      <c r="G44" s="7" t="inlineStr">
        <is>
          <t>Fűrész</t>
        </is>
      </c>
      <c r="H44" s="7" t="inlineStr">
        <is>
          <t>Gereblye</t>
        </is>
      </c>
      <c r="I44" s="7" t="inlineStr">
        <is>
          <t>Cipzár</t>
        </is>
      </c>
      <c r="J44" s="7" t="n"/>
      <c r="K44" s="8" t="n"/>
    </row>
    <row r="45">
      <c r="A45" s="7" t="inlineStr">
        <is>
          <t>rsz-012</t>
        </is>
      </c>
      <c r="B45" s="7" t="inlineStr">
        <is>
          <t>2026-10-04</t>
        </is>
      </c>
      <c r="C45" s="7" t="n">
        <v>4</v>
      </c>
      <c r="D45" s="8" t="inlineStr">
        <is>
          <t>Főnév és ige is egyben</t>
        </is>
      </c>
      <c r="E45" s="8" t="n"/>
      <c r="F45" s="7" t="inlineStr">
        <is>
          <t>Vár</t>
        </is>
      </c>
      <c r="G45" s="7" t="inlineStr">
        <is>
          <t>Fog</t>
        </is>
      </c>
      <c r="H45" s="7" t="inlineStr">
        <is>
          <t>Nyúl</t>
        </is>
      </c>
      <c r="I45" s="7" t="inlineStr">
        <is>
          <t>Ég</t>
        </is>
      </c>
      <c r="J45" s="7" t="inlineStr">
        <is>
          <t>Fog (a fogas csoport miatt)</t>
        </is>
      </c>
      <c r="K45" s="8" t="n"/>
    </row>
    <row r="46">
      <c r="A46" s="7" t="inlineStr">
        <is>
          <t>rsz-013</t>
        </is>
      </c>
      <c r="B46" s="7" t="inlineStr">
        <is>
          <t>2026-10-05</t>
        </is>
      </c>
      <c r="C46" s="7" t="n">
        <v>1</v>
      </c>
      <c r="D46" s="8" t="inlineStr">
        <is>
          <t>Magyar borvidékek</t>
        </is>
      </c>
      <c r="E46" s="8" t="n"/>
      <c r="F46" s="7" t="inlineStr">
        <is>
          <t>Tokaj</t>
        </is>
      </c>
      <c r="G46" s="7" t="inlineStr">
        <is>
          <t>Villány</t>
        </is>
      </c>
      <c r="H46" s="7" t="inlineStr">
        <is>
          <t>Eger</t>
        </is>
      </c>
      <c r="I46" s="7" t="inlineStr">
        <is>
          <t>Szekszárd</t>
        </is>
      </c>
      <c r="J46" s="7" t="n"/>
      <c r="K46" s="8" t="n"/>
    </row>
    <row r="47" ht="27.6" customHeight="1">
      <c r="A47" s="7" t="inlineStr">
        <is>
          <t>rsz-013</t>
        </is>
      </c>
      <c r="B47" s="7" t="inlineStr">
        <is>
          <t>2026-10-05</t>
        </is>
      </c>
      <c r="C47" s="7" t="n">
        <v>2</v>
      </c>
      <c r="D47" s="8" t="inlineStr">
        <is>
          <t>A Pál utcai fiúk szereplői</t>
        </is>
      </c>
      <c r="E47" s="8" t="n"/>
      <c r="F47" s="7" t="inlineStr">
        <is>
          <t>Nemecsek</t>
        </is>
      </c>
      <c r="G47" s="7" t="inlineStr">
        <is>
          <t>Boka</t>
        </is>
      </c>
      <c r="H47" s="7" t="inlineStr">
        <is>
          <t>Áts</t>
        </is>
      </c>
      <c r="I47" s="7" t="inlineStr">
        <is>
          <t>Geréb</t>
        </is>
      </c>
      <c r="J47" s="7" t="n"/>
      <c r="K47" s="8" t="inlineStr">
        <is>
          <t>Boka testrész is, de nincs testrész-csoport ebben a feladványban</t>
        </is>
      </c>
    </row>
    <row r="48">
      <c r="A48" s="7" t="inlineStr">
        <is>
          <t>rsz-013</t>
        </is>
      </c>
      <c r="B48" s="7" t="inlineStr">
        <is>
          <t>2026-10-05</t>
        </is>
      </c>
      <c r="C48" s="7" t="n">
        <v>3</v>
      </c>
      <c r="D48" s="8" t="inlineStr">
        <is>
          <t>Régi magyar mértékegységek</t>
        </is>
      </c>
      <c r="E48" s="8" t="inlineStr">
        <is>
          <t>1 hold ≈ 5755 m², 1 icce ≈ 0,8 liter</t>
        </is>
      </c>
      <c r="F48" s="7" t="inlineStr">
        <is>
          <t>Hold</t>
        </is>
      </c>
      <c r="G48" s="7" t="inlineStr">
        <is>
          <t>Öl</t>
        </is>
      </c>
      <c r="H48" s="7" t="inlineStr">
        <is>
          <t>Icce</t>
        </is>
      </c>
      <c r="I48" s="7" t="inlineStr">
        <is>
          <t>Akó</t>
        </is>
      </c>
      <c r="J48" s="7" t="n"/>
      <c r="K48" s="8" t="inlineStr">
        <is>
          <t>Hold = égitest is; nincs égi csoport itt</t>
        </is>
      </c>
    </row>
    <row r="49">
      <c r="A49" s="7" t="inlineStr">
        <is>
          <t>rsz-013</t>
        </is>
      </c>
      <c r="B49" s="7" t="inlineStr">
        <is>
          <t>2026-10-05</t>
        </is>
      </c>
      <c r="C49" s="7" t="n">
        <v>4</v>
      </c>
      <c r="D49" s="8" t="inlineStr">
        <is>
          <t>Hangszer rejtőzik a szó elején</t>
        </is>
      </c>
      <c r="E49" s="8" t="inlineStr">
        <is>
          <t>dob, síp, lant, kürt</t>
        </is>
      </c>
      <c r="F49" s="7" t="inlineStr">
        <is>
          <t>Dobás</t>
        </is>
      </c>
      <c r="G49" s="7" t="inlineStr">
        <is>
          <t>Sípálya</t>
        </is>
      </c>
      <c r="H49" s="7" t="inlineStr">
        <is>
          <t>Lantos</t>
        </is>
      </c>
      <c r="I49" s="7" t="inlineStr">
        <is>
          <t>Kürtő</t>
        </is>
      </c>
      <c r="J49" s="7" t="n"/>
      <c r="K49" s="8" t="inlineStr">
        <is>
          <t>Sípálya valójában sí+pálya – ez a poén</t>
        </is>
      </c>
    </row>
    <row r="50">
      <c r="A50" s="7" t="inlineStr">
        <is>
          <t>rsz-014</t>
        </is>
      </c>
      <c r="B50" s="7" t="inlineStr">
        <is>
          <t>2026-10-06</t>
        </is>
      </c>
      <c r="C50" s="7" t="n">
        <v>1</v>
      </c>
      <c r="D50" s="8" t="inlineStr">
        <is>
          <t>Retró magyar édességek és üdítők</t>
        </is>
      </c>
      <c r="E50" s="8" t="n"/>
      <c r="F50" s="7" t="inlineStr">
        <is>
          <t>Negro</t>
        </is>
      </c>
      <c r="G50" s="7" t="inlineStr">
        <is>
          <t>Bambi</t>
        </is>
      </c>
      <c r="H50" s="7" t="inlineStr">
        <is>
          <t>Traubi</t>
        </is>
      </c>
      <c r="I50" s="7" t="inlineStr">
        <is>
          <t>Boci</t>
        </is>
      </c>
      <c r="J50" s="7" t="n"/>
      <c r="K50" s="8" t="n"/>
    </row>
    <row r="51">
      <c r="A51" s="7" t="inlineStr">
        <is>
          <t>rsz-014</t>
        </is>
      </c>
      <c r="B51" s="7" t="inlineStr">
        <is>
          <t>2026-10-06</t>
        </is>
      </c>
      <c r="C51" s="7" t="n">
        <v>2</v>
      </c>
      <c r="D51" s="8" t="inlineStr">
        <is>
          <t>Varrás közben</t>
        </is>
      </c>
      <c r="E51" s="8" t="n"/>
      <c r="F51" s="7" t="inlineStr">
        <is>
          <t>Öltés</t>
        </is>
      </c>
      <c r="G51" s="7" t="inlineStr">
        <is>
          <t>Szegély</t>
        </is>
      </c>
      <c r="H51" s="7" t="inlineStr">
        <is>
          <t>Gombolyag</t>
        </is>
      </c>
      <c r="I51" s="7" t="inlineStr">
        <is>
          <t>Tű</t>
        </is>
      </c>
      <c r="J51" s="7" t="n"/>
      <c r="K51" s="8" t="n"/>
    </row>
    <row r="52" ht="27.6" customHeight="1">
      <c r="A52" s="7" t="inlineStr">
        <is>
          <t>rsz-014</t>
        </is>
      </c>
      <c r="B52" s="7" t="inlineStr">
        <is>
          <t>2026-10-06</t>
        </is>
      </c>
      <c r="C52" s="7" t="n">
        <v>3</v>
      </c>
      <c r="D52" s="8" t="inlineStr">
        <is>
          <t>A SZÉP rokon értelmű szavai</t>
        </is>
      </c>
      <c r="E52" s="8" t="n"/>
      <c r="F52" s="7" t="inlineStr">
        <is>
          <t>Csinos</t>
        </is>
      </c>
      <c r="G52" s="7" t="inlineStr">
        <is>
          <t>Bájos</t>
        </is>
      </c>
      <c r="H52" s="7" t="inlineStr">
        <is>
          <t>Takaros</t>
        </is>
      </c>
      <c r="I52" s="7" t="inlineStr">
        <is>
          <t>Helyes</t>
        </is>
      </c>
      <c r="J52" s="7" t="n"/>
      <c r="K52" s="8" t="inlineStr">
        <is>
          <t>Helyes = „jó, rendben” is; nem fedi egyik csoportot sem</t>
        </is>
      </c>
    </row>
    <row r="53">
      <c r="A53" s="7" t="inlineStr">
        <is>
          <t>rsz-014</t>
        </is>
      </c>
      <c r="B53" s="7" t="inlineStr">
        <is>
          <t>2026-10-06</t>
        </is>
      </c>
      <c r="C53" s="7" t="n">
        <v>4</v>
      </c>
      <c r="D53" s="8" t="inlineStr">
        <is>
          <t>Amit a tűz csinál</t>
        </is>
      </c>
      <c r="E53" s="8" t="n"/>
      <c r="F53" s="7" t="inlineStr">
        <is>
          <t>Pattog</t>
        </is>
      </c>
      <c r="G53" s="7" t="inlineStr">
        <is>
          <t>Lobog</t>
        </is>
      </c>
      <c r="H53" s="7" t="inlineStr">
        <is>
          <t>Izzik</t>
        </is>
      </c>
      <c r="I53" s="7" t="inlineStr">
        <is>
          <t>Sistereg</t>
        </is>
      </c>
      <c r="J53" s="7" t="n"/>
      <c r="K53" s="8" t="n"/>
    </row>
    <row r="54">
      <c r="A54" s="7" t="inlineStr">
        <is>
          <t>rsz-015</t>
        </is>
      </c>
      <c r="B54" s="7" t="inlineStr">
        <is>
          <t>2026-10-07</t>
        </is>
      </c>
      <c r="C54" s="7" t="n">
        <v>1</v>
      </c>
      <c r="D54" s="8" t="inlineStr">
        <is>
          <t>Tejtermékek</t>
        </is>
      </c>
      <c r="E54" s="8" t="n"/>
      <c r="F54" s="7" t="inlineStr">
        <is>
          <t>Túró</t>
        </is>
      </c>
      <c r="G54" s="7" t="inlineStr">
        <is>
          <t>Tejföl</t>
        </is>
      </c>
      <c r="H54" s="7" t="inlineStr">
        <is>
          <t>Vaj</t>
        </is>
      </c>
      <c r="I54" s="7" t="inlineStr">
        <is>
          <t>Kefir</t>
        </is>
      </c>
      <c r="J54" s="7" t="n"/>
      <c r="K54" s="8" t="n"/>
    </row>
    <row r="55">
      <c r="A55" s="7" t="inlineStr">
        <is>
          <t>rsz-015</t>
        </is>
      </c>
      <c r="B55" s="7" t="inlineStr">
        <is>
          <t>2026-10-07</t>
        </is>
      </c>
      <c r="C55" s="7" t="n">
        <v>2</v>
      </c>
      <c r="D55" s="8" t="inlineStr">
        <is>
          <t>Magyar zenekarok</t>
        </is>
      </c>
      <c r="E55" s="8" t="n"/>
      <c r="F55" s="7" t="inlineStr">
        <is>
          <t>Omega</t>
        </is>
      </c>
      <c r="G55" s="7" t="inlineStr">
        <is>
          <t>Illés</t>
        </is>
      </c>
      <c r="H55" s="7" t="inlineStr">
        <is>
          <t>Hungária</t>
        </is>
      </c>
      <c r="I55" s="7" t="inlineStr">
        <is>
          <t>Neoton</t>
        </is>
      </c>
      <c r="J55" s="7" t="n"/>
      <c r="K55" s="8" t="n"/>
    </row>
    <row r="56">
      <c r="A56" s="7" t="inlineStr">
        <is>
          <t>rsz-015</t>
        </is>
      </c>
      <c r="B56" s="7" t="inlineStr">
        <is>
          <t>2026-10-07</t>
        </is>
      </c>
      <c r="C56" s="7" t="n">
        <v>3</v>
      </c>
      <c r="D56" s="8" t="inlineStr">
        <is>
          <t>Kártyázás közben</t>
        </is>
      </c>
      <c r="E56" s="8" t="n"/>
      <c r="F56" s="7" t="inlineStr">
        <is>
          <t>Oszt</t>
        </is>
      </c>
      <c r="G56" s="7" t="inlineStr">
        <is>
          <t>Emel</t>
        </is>
      </c>
      <c r="H56" s="7" t="inlineStr">
        <is>
          <t>Passzol</t>
        </is>
      </c>
      <c r="I56" s="7" t="inlineStr">
        <is>
          <t>Üt</t>
        </is>
      </c>
      <c r="J56" s="7" t="n"/>
      <c r="K56" s="8" t="inlineStr">
        <is>
          <t>Mind ige; nincs másik ige-csoport itt</t>
        </is>
      </c>
    </row>
    <row r="57">
      <c r="A57" s="7" t="inlineStr">
        <is>
          <t>rsz-015</t>
        </is>
      </c>
      <c r="B57" s="7" t="inlineStr">
        <is>
          <t>2026-10-07</t>
        </is>
      </c>
      <c r="C57" s="7" t="n">
        <v>4</v>
      </c>
      <c r="D57" s="8" t="inlineStr">
        <is>
          <t>Egy betű cseréjével állat lesz belőle</t>
        </is>
      </c>
      <c r="E57" s="8" t="inlineStr">
        <is>
          <t>liba, sas, egér, kacsa</t>
        </is>
      </c>
      <c r="F57" s="7" t="inlineStr">
        <is>
          <t>Lila</t>
        </is>
      </c>
      <c r="G57" s="7" t="inlineStr">
        <is>
          <t>Sás</t>
        </is>
      </c>
      <c r="H57" s="7" t="inlineStr">
        <is>
          <t>Eger</t>
        </is>
      </c>
      <c r="I57" s="7" t="inlineStr">
        <is>
          <t>Kassa</t>
        </is>
      </c>
      <c r="J57" s="7" t="n"/>
      <c r="K57" s="8" t="inlineStr">
        <is>
          <t>Eger és Kassa város is, de nincs földrajzi csoport itt</t>
        </is>
      </c>
    </row>
    <row r="58">
      <c r="A58" s="7" t="inlineStr">
        <is>
          <t>rsz-016</t>
        </is>
      </c>
      <c r="B58" s="7" t="inlineStr">
        <is>
          <t>2026-10-08</t>
        </is>
      </c>
      <c r="C58" s="7" t="n">
        <v>1</v>
      </c>
      <c r="D58" s="8" t="inlineStr">
        <is>
          <t>Ami a kaszinóban van</t>
        </is>
      </c>
      <c r="E58" s="8" t="n"/>
      <c r="F58" s="7" t="inlineStr">
        <is>
          <t>Rulett</t>
        </is>
      </c>
      <c r="G58" s="7" t="inlineStr">
        <is>
          <t>Zseton</t>
        </is>
      </c>
      <c r="H58" s="7" t="inlineStr">
        <is>
          <t>Krupié</t>
        </is>
      </c>
      <c r="I58" s="7" t="inlineStr">
        <is>
          <t>Jackpot</t>
        </is>
      </c>
      <c r="J58" s="7" t="n"/>
      <c r="K58" s="8" t="n"/>
    </row>
    <row r="59">
      <c r="A59" s="7" t="inlineStr">
        <is>
          <t>rsz-016</t>
        </is>
      </c>
      <c r="B59" s="7" t="inlineStr">
        <is>
          <t>2026-10-08</t>
        </is>
      </c>
      <c r="C59" s="7" t="n">
        <v>2</v>
      </c>
      <c r="D59" s="8" t="inlineStr">
        <is>
          <t>A BUTA rokon értelmű szavai</t>
        </is>
      </c>
      <c r="E59" s="8" t="n"/>
      <c r="F59" s="7" t="inlineStr">
        <is>
          <t>Ostoba</t>
        </is>
      </c>
      <c r="G59" s="7" t="inlineStr">
        <is>
          <t>Balga</t>
        </is>
      </c>
      <c r="H59" s="7" t="inlineStr">
        <is>
          <t>Együgyű</t>
        </is>
      </c>
      <c r="I59" s="7" t="inlineStr">
        <is>
          <t>Dőre</t>
        </is>
      </c>
      <c r="J59" s="7" t="n"/>
      <c r="K59" s="8" t="n"/>
    </row>
    <row r="60">
      <c r="A60" s="7" t="inlineStr">
        <is>
          <t>rsz-016</t>
        </is>
      </c>
      <c r="B60" s="7" t="inlineStr">
        <is>
          <t>2026-10-08</t>
        </is>
      </c>
      <c r="C60" s="7" t="n">
        <v>3</v>
      </c>
      <c r="D60" s="8" t="inlineStr">
        <is>
          <t>Horgászfelszerelés</t>
        </is>
      </c>
      <c r="E60" s="8" t="n"/>
      <c r="F60" s="7" t="inlineStr">
        <is>
          <t>Úszó</t>
        </is>
      </c>
      <c r="G60" s="7" t="inlineStr">
        <is>
          <t>Ólom</t>
        </is>
      </c>
      <c r="H60" s="7" t="inlineStr">
        <is>
          <t>Orsó</t>
        </is>
      </c>
      <c r="I60" s="7" t="inlineStr">
        <is>
          <t>Csali</t>
        </is>
      </c>
      <c r="J60" s="7" t="n"/>
      <c r="K60" s="8" t="inlineStr">
        <is>
          <t>Csali = kaszinós „csalit” NEM; a csalás más szó</t>
        </is>
      </c>
    </row>
    <row r="61">
      <c r="A61" s="7" t="inlineStr">
        <is>
          <t>rsz-016</t>
        </is>
      </c>
      <c r="B61" s="7" t="inlineStr">
        <is>
          <t>2026-10-08</t>
        </is>
      </c>
      <c r="C61" s="7" t="n">
        <v>4</v>
      </c>
      <c r="D61" s="8" t="inlineStr">
        <is>
          <t>Ital rejtőzik a szó elején</t>
        </is>
      </c>
      <c r="E61" s="8" t="inlineStr">
        <is>
          <t>bor, sör, tej, víz</t>
        </is>
      </c>
      <c r="F61" s="7" t="inlineStr">
        <is>
          <t>Borotva</t>
        </is>
      </c>
      <c r="G61" s="7" t="inlineStr">
        <is>
          <t>Sörény</t>
        </is>
      </c>
      <c r="H61" s="7" t="inlineStr">
        <is>
          <t>Tejút</t>
        </is>
      </c>
      <c r="I61" s="7" t="inlineStr">
        <is>
          <t>Vízum</t>
        </is>
      </c>
      <c r="J61" s="7" t="n"/>
      <c r="K61" s="8" t="inlineStr">
        <is>
          <t>Vízum: a víz itt véletlen szóeleji egyezés – ez a poén</t>
        </is>
      </c>
    </row>
    <row r="62">
      <c r="A62" s="7" t="inlineStr">
        <is>
          <t>rsz-017</t>
        </is>
      </c>
      <c r="B62" s="7" t="inlineStr">
        <is>
          <t>2026-10-09</t>
        </is>
      </c>
      <c r="C62" s="7" t="n">
        <v>1</v>
      </c>
      <c r="D62" s="8" t="inlineStr">
        <is>
          <t>Mezei virágok</t>
        </is>
      </c>
      <c r="E62" s="8" t="n"/>
      <c r="F62" s="7" t="inlineStr">
        <is>
          <t>Pipacs</t>
        </is>
      </c>
      <c r="G62" s="7" t="inlineStr">
        <is>
          <t>Nefelejcs</t>
        </is>
      </c>
      <c r="H62" s="7" t="inlineStr">
        <is>
          <t>Margaréta</t>
        </is>
      </c>
      <c r="I62" s="7" t="inlineStr">
        <is>
          <t>Kankalin</t>
        </is>
      </c>
      <c r="J62" s="7" t="n"/>
      <c r="K62" s="8" t="n"/>
    </row>
    <row r="63">
      <c r="A63" s="7" t="inlineStr">
        <is>
          <t>rsz-017</t>
        </is>
      </c>
      <c r="B63" s="7" t="inlineStr">
        <is>
          <t>2026-10-09</t>
        </is>
      </c>
      <c r="C63" s="7" t="n">
        <v>2</v>
      </c>
      <c r="D63" s="8" t="inlineStr">
        <is>
          <t>Mai magyar márkák</t>
        </is>
      </c>
      <c r="E63" s="8" t="inlineStr">
        <is>
          <t>Prezi, Wizz Air, Barion, Nanushka</t>
        </is>
      </c>
      <c r="F63" s="7" t="inlineStr">
        <is>
          <t>Prezi</t>
        </is>
      </c>
      <c r="G63" s="7" t="inlineStr">
        <is>
          <t>Wizz</t>
        </is>
      </c>
      <c r="H63" s="7" t="inlineStr">
        <is>
          <t>Barion</t>
        </is>
      </c>
      <c r="I63" s="7" t="inlineStr">
        <is>
          <t>Nanushka</t>
        </is>
      </c>
      <c r="J63" s="7" t="n"/>
      <c r="K63" s="8" t="n"/>
    </row>
    <row r="64">
      <c r="A64" s="7" t="inlineStr">
        <is>
          <t>rsz-017</t>
        </is>
      </c>
      <c r="B64" s="7" t="inlineStr">
        <is>
          <t>2026-10-09</t>
        </is>
      </c>
      <c r="C64" s="7" t="n">
        <v>3</v>
      </c>
      <c r="D64" s="8" t="inlineStr">
        <is>
          <t>Amit a víz csinál</t>
        </is>
      </c>
      <c r="E64" s="8" t="n"/>
      <c r="F64" s="7" t="inlineStr">
        <is>
          <t>Csobog</t>
        </is>
      </c>
      <c r="G64" s="7" t="inlineStr">
        <is>
          <t>Zubog</t>
        </is>
      </c>
      <c r="H64" s="7" t="inlineStr">
        <is>
          <t>Csordul</t>
        </is>
      </c>
      <c r="I64" s="7" t="inlineStr">
        <is>
          <t>Szivárog</t>
        </is>
      </c>
      <c r="J64" s="7" t="n"/>
      <c r="K64" s="8" t="n"/>
    </row>
    <row r="65">
      <c r="A65" s="7" t="inlineStr">
        <is>
          <t>rsz-017</t>
        </is>
      </c>
      <c r="B65" s="7" t="inlineStr">
        <is>
          <t>2026-10-09</t>
        </is>
      </c>
      <c r="C65" s="7" t="n">
        <v>4</v>
      </c>
      <c r="D65" s="8" t="inlineStr">
        <is>
          <t>Szám rejtőzik a szó elején</t>
        </is>
      </c>
      <c r="E65" s="8" t="inlineStr">
        <is>
          <t>öt, hat, két, száz</t>
        </is>
      </c>
      <c r="F65" s="7" t="inlineStr">
        <is>
          <t>Ötlet</t>
        </is>
      </c>
      <c r="G65" s="7" t="inlineStr">
        <is>
          <t>Hatás</t>
        </is>
      </c>
      <c r="H65" s="7" t="inlineStr">
        <is>
          <t>Kétely</t>
        </is>
      </c>
      <c r="I65" s="7" t="inlineStr">
        <is>
          <t>Százalék</t>
        </is>
      </c>
      <c r="J65" s="7" t="n"/>
      <c r="K65" s="8" t="n"/>
    </row>
    <row r="66">
      <c r="A66" s="7" t="inlineStr">
        <is>
          <t>rsz-018</t>
        </is>
      </c>
      <c r="B66" s="7" t="inlineStr">
        <is>
          <t>2026-10-10</t>
        </is>
      </c>
      <c r="C66" s="7" t="n">
        <v>1</v>
      </c>
      <c r="D66" s="8" t="inlineStr">
        <is>
          <t>Falusi ünnepek</t>
        </is>
      </c>
      <c r="E66" s="8" t="n"/>
      <c r="F66" s="7" t="inlineStr">
        <is>
          <t>Farsang</t>
        </is>
      </c>
      <c r="G66" s="7" t="inlineStr">
        <is>
          <t>Szüret</t>
        </is>
      </c>
      <c r="H66" s="7" t="inlineStr">
        <is>
          <t>Búcsú</t>
        </is>
      </c>
      <c r="I66" s="7" t="inlineStr">
        <is>
          <t>Majális</t>
        </is>
      </c>
      <c r="J66" s="7" t="n"/>
      <c r="K66" s="8" t="n"/>
    </row>
    <row r="67" ht="27.6" customHeight="1">
      <c r="A67" s="7" t="inlineStr">
        <is>
          <t>rsz-018</t>
        </is>
      </c>
      <c r="B67" s="7" t="inlineStr">
        <is>
          <t>2026-10-10</t>
        </is>
      </c>
      <c r="C67" s="7" t="n">
        <v>2</v>
      </c>
      <c r="D67" s="8" t="inlineStr">
        <is>
          <t>Sütés közben</t>
        </is>
      </c>
      <c r="E67" s="8" t="n"/>
      <c r="F67" s="7" t="inlineStr">
        <is>
          <t>Dagaszt</t>
        </is>
      </c>
      <c r="G67" s="7" t="inlineStr">
        <is>
          <t>Kel</t>
        </is>
      </c>
      <c r="H67" s="7" t="inlineStr">
        <is>
          <t>Pihen</t>
        </is>
      </c>
      <c r="I67" s="7" t="inlineStr">
        <is>
          <t>Sül</t>
        </is>
      </c>
      <c r="J67" s="7" t="n"/>
      <c r="K67" s="8" t="inlineStr">
        <is>
          <t>Mind ige; a Kel zöldség is, de nincs zöldségcsoport itt</t>
        </is>
      </c>
    </row>
    <row r="68">
      <c r="A68" s="7" t="inlineStr">
        <is>
          <t>rsz-018</t>
        </is>
      </c>
      <c r="B68" s="7" t="inlineStr">
        <is>
          <t>2026-10-10</t>
        </is>
      </c>
      <c r="C68" s="7" t="n">
        <v>3</v>
      </c>
      <c r="D68" s="8" t="inlineStr">
        <is>
          <t>Mai fiatalok szavai</t>
        </is>
      </c>
      <c r="E68" s="8" t="n"/>
      <c r="F68" s="7" t="inlineStr">
        <is>
          <t>Rizz</t>
        </is>
      </c>
      <c r="G68" s="7" t="inlineStr">
        <is>
          <t>Cringe</t>
        </is>
      </c>
      <c r="H68" s="7" t="inlineStr">
        <is>
          <t>Sigma</t>
        </is>
      </c>
      <c r="I68" s="7" t="inlineStr">
        <is>
          <t>Flex</t>
        </is>
      </c>
      <c r="J68" s="7" t="n"/>
      <c r="K68" s="8" t="n"/>
    </row>
    <row r="69">
      <c r="A69" s="7" t="inlineStr">
        <is>
          <t>rsz-018</t>
        </is>
      </c>
      <c r="B69" s="7" t="inlineStr">
        <is>
          <t>2026-10-10</t>
        </is>
      </c>
      <c r="C69" s="7" t="n">
        <v>4</v>
      </c>
      <c r="D69" s="8" t="inlineStr">
        <is>
          <t>___ + HÁZ</t>
        </is>
      </c>
      <c r="E69" s="8" t="inlineStr">
        <is>
          <t>tárház, üvegház, kórház, bérház</t>
        </is>
      </c>
      <c r="F69" s="7" t="inlineStr">
        <is>
          <t>Tár</t>
        </is>
      </c>
      <c r="G69" s="7" t="inlineStr">
        <is>
          <t>Üveg</t>
        </is>
      </c>
      <c r="H69" s="7" t="inlineStr">
        <is>
          <t>Kór</t>
        </is>
      </c>
      <c r="I69" s="7" t="inlineStr">
        <is>
          <t>Bér</t>
        </is>
      </c>
      <c r="J69" s="7" t="n"/>
      <c r="K69" s="8" t="n"/>
    </row>
    <row r="70" ht="27.6" customHeight="1">
      <c r="A70" s="7" t="inlineStr">
        <is>
          <t>rsz-019</t>
        </is>
      </c>
      <c r="B70" s="7" t="inlineStr">
        <is>
          <t>2026-10-11</t>
        </is>
      </c>
      <c r="C70" s="7" t="n">
        <v>1</v>
      </c>
      <c r="D70" s="8" t="inlineStr">
        <is>
          <t>A magyar labdarúgó-válogatott tagjai</t>
        </is>
      </c>
      <c r="E70" s="8" t="n"/>
      <c r="F70" s="7" t="inlineStr">
        <is>
          <t>Szoboszlai</t>
        </is>
      </c>
      <c r="G70" s="7" t="inlineStr">
        <is>
          <t>Dárdai</t>
        </is>
      </c>
      <c r="H70" s="7" t="inlineStr">
        <is>
          <t>Kerkez</t>
        </is>
      </c>
      <c r="I70" s="7" t="inlineStr">
        <is>
          <t>Dibusz</t>
        </is>
      </c>
      <c r="J70" s="7" t="n"/>
      <c r="K70" s="8" t="inlineStr">
        <is>
          <t>ELLENŐRIZD a keretet a megjelenés előtt! Szoboszlai 10 karakter – kétsoros doboz kell</t>
        </is>
      </c>
    </row>
    <row r="71">
      <c r="A71" s="7" t="inlineStr">
        <is>
          <t>rsz-019</t>
        </is>
      </c>
      <c r="B71" s="7" t="inlineStr">
        <is>
          <t>2026-10-11</t>
        </is>
      </c>
      <c r="C71" s="7" t="n">
        <v>2</v>
      </c>
      <c r="D71" s="8" t="inlineStr">
        <is>
          <t>Asztalos szerszámai</t>
        </is>
      </c>
      <c r="E71" s="8" t="n"/>
      <c r="F71" s="7" t="inlineStr">
        <is>
          <t>Gyalu</t>
        </is>
      </c>
      <c r="G71" s="7" t="inlineStr">
        <is>
          <t>Véső</t>
        </is>
      </c>
      <c r="H71" s="7" t="inlineStr">
        <is>
          <t>Reszelő</t>
        </is>
      </c>
      <c r="I71" s="7" t="inlineStr">
        <is>
          <t>Fúró</t>
        </is>
      </c>
      <c r="J71" s="7" t="n"/>
      <c r="K71" s="8" t="n"/>
    </row>
    <row r="72">
      <c r="A72" s="7" t="inlineStr">
        <is>
          <t>rsz-019</t>
        </is>
      </c>
      <c r="B72" s="7" t="inlineStr">
        <is>
          <t>2026-10-11</t>
        </is>
      </c>
      <c r="C72" s="7" t="n">
        <v>3</v>
      </c>
      <c r="D72" s="8" t="inlineStr">
        <is>
          <t>Állathangok</t>
        </is>
      </c>
      <c r="E72" s="8" t="n"/>
      <c r="F72" s="7" t="inlineStr">
        <is>
          <t>Nyerít</t>
        </is>
      </c>
      <c r="G72" s="7" t="inlineStr">
        <is>
          <t>Mekeg</t>
        </is>
      </c>
      <c r="H72" s="7" t="inlineStr">
        <is>
          <t>Gágog</t>
        </is>
      </c>
      <c r="I72" s="7" t="inlineStr">
        <is>
          <t>Bőg</t>
        </is>
      </c>
      <c r="J72" s="7" t="n"/>
      <c r="K72" s="8" t="n"/>
    </row>
    <row r="73">
      <c r="A73" s="7" t="inlineStr">
        <is>
          <t>rsz-019</t>
        </is>
      </c>
      <c r="B73" s="7" t="inlineStr">
        <is>
          <t>2026-10-11</t>
        </is>
      </c>
      <c r="C73" s="7" t="n">
        <v>4</v>
      </c>
      <c r="D73" s="8" t="inlineStr">
        <is>
          <t>Gyümölcs rejtőzik a szóban</t>
        </is>
      </c>
      <c r="E73" s="8" t="inlineStr">
        <is>
          <t>alma, meggy, dió, szeder</t>
        </is>
      </c>
      <c r="F73" s="7" t="inlineStr">
        <is>
          <t>Almanach</t>
        </is>
      </c>
      <c r="G73" s="7" t="inlineStr">
        <is>
          <t>Meggyőz</t>
        </is>
      </c>
      <c r="H73" s="7" t="inlineStr">
        <is>
          <t>Dióda</t>
        </is>
      </c>
      <c r="I73" s="7" t="inlineStr">
        <is>
          <t>Szederjes</t>
        </is>
      </c>
      <c r="J73" s="7" t="n"/>
      <c r="K73" s="8" t="inlineStr">
        <is>
          <t>Szederjes = kékes-lilás színű</t>
        </is>
      </c>
    </row>
    <row r="74">
      <c r="A74" s="7" t="inlineStr">
        <is>
          <t>rsz-020</t>
        </is>
      </c>
      <c r="B74" s="7" t="inlineStr">
        <is>
          <t>2026-10-12</t>
        </is>
      </c>
      <c r="C74" s="7" t="n">
        <v>1</v>
      </c>
      <c r="D74" s="8" t="inlineStr">
        <is>
          <t>Magyar hegységek</t>
        </is>
      </c>
      <c r="E74" s="8" t="n"/>
      <c r="F74" s="7" t="inlineStr">
        <is>
          <t>Mátra</t>
        </is>
      </c>
      <c r="G74" s="7" t="inlineStr">
        <is>
          <t>Bükk</t>
        </is>
      </c>
      <c r="H74" s="7" t="inlineStr">
        <is>
          <t>Mecsek</t>
        </is>
      </c>
      <c r="I74" s="7" t="inlineStr">
        <is>
          <t>Pilis</t>
        </is>
      </c>
      <c r="J74" s="7" t="n"/>
      <c r="K74" s="8" t="n"/>
    </row>
    <row r="75">
      <c r="A75" s="7" t="inlineStr">
        <is>
          <t>rsz-020</t>
        </is>
      </c>
      <c r="B75" s="7" t="inlineStr">
        <is>
          <t>2026-10-12</t>
        </is>
      </c>
      <c r="C75" s="7" t="n">
        <v>2</v>
      </c>
      <c r="D75" s="8" t="inlineStr">
        <is>
          <t>Kötelező olvasmányok</t>
        </is>
      </c>
      <c r="E75" s="8" t="inlineStr">
        <is>
          <t>Arany, Fekete István, Szabó Magda</t>
        </is>
      </c>
      <c r="F75" s="7" t="inlineStr">
        <is>
          <t>Toldi</t>
        </is>
      </c>
      <c r="G75" s="7" t="inlineStr">
        <is>
          <t>Tüskevár</t>
        </is>
      </c>
      <c r="H75" s="7" t="inlineStr">
        <is>
          <t>Abigél</t>
        </is>
      </c>
      <c r="I75" s="7" t="inlineStr">
        <is>
          <t>Bogáncs</t>
        </is>
      </c>
      <c r="J75" s="7" t="n"/>
      <c r="K75" s="8" t="n"/>
    </row>
    <row r="76">
      <c r="A76" s="7" t="inlineStr">
        <is>
          <t>rsz-020</t>
        </is>
      </c>
      <c r="B76" s="7" t="inlineStr">
        <is>
          <t>2026-10-12</t>
        </is>
      </c>
      <c r="C76" s="7" t="n">
        <v>3</v>
      </c>
      <c r="D76" s="8" t="inlineStr">
        <is>
          <t>A piros árnyalatai</t>
        </is>
      </c>
      <c r="E76" s="8" t="n"/>
      <c r="F76" s="7" t="inlineStr">
        <is>
          <t>Bordó</t>
        </is>
      </c>
      <c r="G76" s="7" t="inlineStr">
        <is>
          <t>Meggy</t>
        </is>
      </c>
      <c r="H76" s="7" t="inlineStr">
        <is>
          <t>Skarlát</t>
        </is>
      </c>
      <c r="I76" s="7" t="inlineStr">
        <is>
          <t>Rőt</t>
        </is>
      </c>
      <c r="J76" s="7" t="n"/>
      <c r="K76" s="8" t="inlineStr">
        <is>
          <t>Meggy gyümölcs is; nincs gyümölcscsoport itt</t>
        </is>
      </c>
    </row>
    <row r="77" ht="27.6" customHeight="1">
      <c r="A77" s="7" t="inlineStr">
        <is>
          <t>rsz-020</t>
        </is>
      </c>
      <c r="B77" s="7" t="inlineStr">
        <is>
          <t>2026-10-12</t>
        </is>
      </c>
      <c r="C77" s="7" t="n">
        <v>4</v>
      </c>
      <c r="D77" s="8" t="inlineStr">
        <is>
          <t>A GYORS rokon értelmű szavai</t>
        </is>
      </c>
      <c r="E77" s="8" t="n"/>
      <c r="F77" s="7" t="inlineStr">
        <is>
          <t>Sebes</t>
        </is>
      </c>
      <c r="G77" s="7" t="inlineStr">
        <is>
          <t>Fürge</t>
        </is>
      </c>
      <c r="H77" s="7" t="inlineStr">
        <is>
          <t>Serény</t>
        </is>
      </c>
      <c r="I77" s="7" t="inlineStr">
        <is>
          <t>Szapora</t>
        </is>
      </c>
      <c r="J77" s="7" t="n"/>
      <c r="K77" s="8" t="inlineStr">
        <is>
          <t>Sebes = „sérült” is; egyik csoportba sem fér be máshogy</t>
        </is>
      </c>
    </row>
    <row r="78">
      <c r="A78" s="7" t="inlineStr">
        <is>
          <t>rsz-021</t>
        </is>
      </c>
      <c r="B78" s="7" t="inlineStr">
        <is>
          <t>2026-10-13</t>
        </is>
      </c>
      <c r="C78" s="7" t="n">
        <v>1</v>
      </c>
      <c r="D78" s="8" t="inlineStr">
        <is>
          <t>Ami a tolltartóban van</t>
        </is>
      </c>
      <c r="E78" s="8" t="n"/>
      <c r="F78" s="7" t="inlineStr">
        <is>
          <t>Radír</t>
        </is>
      </c>
      <c r="G78" s="7" t="inlineStr">
        <is>
          <t>Vonalzó</t>
        </is>
      </c>
      <c r="H78" s="7" t="inlineStr">
        <is>
          <t>Hegyező</t>
        </is>
      </c>
      <c r="I78" s="7" t="inlineStr">
        <is>
          <t>Filctoll</t>
        </is>
      </c>
      <c r="J78" s="7" t="n"/>
      <c r="K78" s="8" t="n"/>
    </row>
    <row r="79">
      <c r="A79" s="7" t="inlineStr">
        <is>
          <t>rsz-021</t>
        </is>
      </c>
      <c r="B79" s="7" t="inlineStr">
        <is>
          <t>2026-10-13</t>
        </is>
      </c>
      <c r="C79" s="7" t="n">
        <v>2</v>
      </c>
      <c r="D79" s="8" t="inlineStr">
        <is>
          <t>Ásványok</t>
        </is>
      </c>
      <c r="E79" s="8" t="n"/>
      <c r="F79" s="7" t="inlineStr">
        <is>
          <t>Opál</t>
        </is>
      </c>
      <c r="G79" s="7" t="inlineStr">
        <is>
          <t>Ametiszt</t>
        </is>
      </c>
      <c r="H79" s="7" t="inlineStr">
        <is>
          <t>Jáspis</t>
        </is>
      </c>
      <c r="I79" s="7" t="inlineStr">
        <is>
          <t>Borostyán</t>
        </is>
      </c>
      <c r="J79" s="7" t="n"/>
      <c r="K79" s="8" t="inlineStr">
        <is>
          <t>Borostyán növény is; nincs növénycsoport itt</t>
        </is>
      </c>
    </row>
    <row r="80">
      <c r="A80" s="7" t="inlineStr">
        <is>
          <t>rsz-021</t>
        </is>
      </c>
      <c r="B80" s="7" t="inlineStr">
        <is>
          <t>2026-10-13</t>
        </is>
      </c>
      <c r="C80" s="7" t="n">
        <v>3</v>
      </c>
      <c r="D80" s="8" t="inlineStr">
        <is>
          <t>A SOK rokon értelmű szavai</t>
        </is>
      </c>
      <c r="E80" s="8" t="inlineStr">
        <is>
          <t>garmada = nagy halom</t>
        </is>
      </c>
      <c r="F80" s="7" t="inlineStr">
        <is>
          <t>Rengeteg</t>
        </is>
      </c>
      <c r="G80" s="7" t="inlineStr">
        <is>
          <t>Temérdek</t>
        </is>
      </c>
      <c r="H80" s="7" t="inlineStr">
        <is>
          <t>Számtalan</t>
        </is>
      </c>
      <c r="I80" s="7" t="inlineStr">
        <is>
          <t>Garmada</t>
        </is>
      </c>
      <c r="J80" s="7" t="n"/>
      <c r="K80" s="8" t="inlineStr">
        <is>
          <t>Rengeteg = sűrű erdő is; nincs erdőcsoport itt</t>
        </is>
      </c>
    </row>
    <row r="81">
      <c r="A81" s="7" t="inlineStr">
        <is>
          <t>rsz-021</t>
        </is>
      </c>
      <c r="B81" s="7" t="inlineStr">
        <is>
          <t>2026-10-13</t>
        </is>
      </c>
      <c r="C81" s="7" t="n">
        <v>4</v>
      </c>
      <c r="D81" s="8" t="inlineStr">
        <is>
          <t>Testrész rejtőzik a szó elején</t>
        </is>
      </c>
      <c r="E81" s="8" t="inlineStr">
        <is>
          <t>fül, has, kar, szem</t>
        </is>
      </c>
      <c r="F81" s="7" t="inlineStr">
        <is>
          <t>Fülke</t>
        </is>
      </c>
      <c r="G81" s="7" t="inlineStr">
        <is>
          <t>Hasáb</t>
        </is>
      </c>
      <c r="H81" s="7" t="inlineStr">
        <is>
          <t>Karácsony</t>
        </is>
      </c>
      <c r="I81" s="7" t="inlineStr">
        <is>
          <t>Szemét</t>
        </is>
      </c>
      <c r="J81" s="7" t="n"/>
      <c r="K81" s="8" t="n"/>
    </row>
    <row r="82">
      <c r="A82" s="7" t="inlineStr">
        <is>
          <t>rsz-022</t>
        </is>
      </c>
      <c r="B82" s="7" t="inlineStr">
        <is>
          <t>2026-10-14</t>
        </is>
      </c>
      <c r="C82" s="7" t="n">
        <v>1</v>
      </c>
      <c r="D82" s="8" t="inlineStr">
        <is>
          <t>Magyar várak</t>
        </is>
      </c>
      <c r="E82" s="8" t="n"/>
      <c r="F82" s="7" t="inlineStr">
        <is>
          <t>Siklós</t>
        </is>
      </c>
      <c r="G82" s="7" t="inlineStr">
        <is>
          <t>Sümeg</t>
        </is>
      </c>
      <c r="H82" s="7" t="inlineStr">
        <is>
          <t>Füzér</t>
        </is>
      </c>
      <c r="I82" s="7" t="inlineStr">
        <is>
          <t>Diósgyőr</t>
        </is>
      </c>
      <c r="J82" s="7" t="n"/>
      <c r="K82" s="8" t="n"/>
    </row>
    <row r="83" ht="27.6" customHeight="1">
      <c r="A83" s="7" t="inlineStr">
        <is>
          <t>rsz-022</t>
        </is>
      </c>
      <c r="B83" s="7" t="inlineStr">
        <is>
          <t>2026-10-14</t>
        </is>
      </c>
      <c r="C83" s="7" t="n">
        <v>2</v>
      </c>
      <c r="D83" s="8" t="inlineStr">
        <is>
          <t>Magyar feltalálók</t>
        </is>
      </c>
      <c r="E83" s="8" t="inlineStr">
        <is>
          <t>Rubik Ernő, Bíró László, Kandó Kálmán, Jedlik Ányos</t>
        </is>
      </c>
      <c r="F83" s="7" t="inlineStr">
        <is>
          <t>Rubik</t>
        </is>
      </c>
      <c r="G83" s="7" t="inlineStr">
        <is>
          <t>Bíró</t>
        </is>
      </c>
      <c r="H83" s="7" t="inlineStr">
        <is>
          <t>Kandó</t>
        </is>
      </c>
      <c r="I83" s="7" t="inlineStr">
        <is>
          <t>Jedlik</t>
        </is>
      </c>
      <c r="J83" s="7" t="n"/>
      <c r="K83" s="8" t="inlineStr">
        <is>
          <t>Bíró foglalkozás is; nincs foglalkozáscsoport itt</t>
        </is>
      </c>
    </row>
    <row r="84">
      <c r="A84" s="7" t="inlineStr">
        <is>
          <t>rsz-022</t>
        </is>
      </c>
      <c r="B84" s="7" t="inlineStr">
        <is>
          <t>2026-10-14</t>
        </is>
      </c>
      <c r="C84" s="7" t="n">
        <v>3</v>
      </c>
      <c r="D84" s="8" t="inlineStr">
        <is>
          <t>Kertészkedés közben</t>
        </is>
      </c>
      <c r="E84" s="8" t="n"/>
      <c r="F84" s="7" t="inlineStr">
        <is>
          <t>Metsz</t>
        </is>
      </c>
      <c r="G84" s="7" t="inlineStr">
        <is>
          <t>Ültet</t>
        </is>
      </c>
      <c r="H84" s="7" t="inlineStr">
        <is>
          <t>Öntöz</t>
        </is>
      </c>
      <c r="I84" s="7" t="inlineStr">
        <is>
          <t>Gyomlál</t>
        </is>
      </c>
      <c r="J84" s="7" t="n"/>
      <c r="K84" s="8" t="inlineStr">
        <is>
          <t>Mind ige; nincs másik ige-csoport itt</t>
        </is>
      </c>
    </row>
    <row r="85">
      <c r="A85" s="7" t="inlineStr">
        <is>
          <t>rsz-022</t>
        </is>
      </c>
      <c r="B85" s="7" t="inlineStr">
        <is>
          <t>2026-10-14</t>
        </is>
      </c>
      <c r="C85" s="7" t="n">
        <v>4</v>
      </c>
      <c r="D85" s="8" t="inlineStr">
        <is>
          <t>Egy betű cseréjével madár lesz belőle</t>
        </is>
      </c>
      <c r="E85" s="8" t="inlineStr">
        <is>
          <t>gólya, veréb, pinty, sas</t>
        </is>
      </c>
      <c r="F85" s="7" t="inlineStr">
        <is>
          <t>Gálya</t>
        </is>
      </c>
      <c r="G85" s="7" t="inlineStr">
        <is>
          <t>Verés</t>
        </is>
      </c>
      <c r="H85" s="7" t="inlineStr">
        <is>
          <t>Ponty</t>
        </is>
      </c>
      <c r="I85" s="7" t="inlineStr">
        <is>
          <t>Sós</t>
        </is>
      </c>
      <c r="J85" s="7" t="n"/>
      <c r="K85" s="8" t="inlineStr">
        <is>
          <t>Ponty hal is; nincs halcsoport itt</t>
        </is>
      </c>
    </row>
    <row r="86">
      <c r="A86" s="7" t="inlineStr">
        <is>
          <t>rsz-023</t>
        </is>
      </c>
      <c r="B86" s="7" t="inlineStr">
        <is>
          <t>2026-10-15</t>
        </is>
      </c>
      <c r="C86" s="7" t="n">
        <v>1</v>
      </c>
      <c r="D86" s="8" t="inlineStr">
        <is>
          <t>Magyar tájegységek</t>
        </is>
      </c>
      <c r="E86" s="8" t="n"/>
      <c r="F86" s="7" t="inlineStr">
        <is>
          <t>Hortobágy</t>
        </is>
      </c>
      <c r="G86" s="7" t="inlineStr">
        <is>
          <t>Nyírség</t>
        </is>
      </c>
      <c r="H86" s="7" t="inlineStr">
        <is>
          <t>Hajdúság</t>
        </is>
      </c>
      <c r="I86" s="7" t="inlineStr">
        <is>
          <t>Kiskunság</t>
        </is>
      </c>
      <c r="J86" s="7" t="n"/>
      <c r="K86" s="8" t="n"/>
    </row>
    <row r="87">
      <c r="A87" s="7" t="inlineStr">
        <is>
          <t>rsz-023</t>
        </is>
      </c>
      <c r="B87" s="7" t="inlineStr">
        <is>
          <t>2026-10-15</t>
        </is>
      </c>
      <c r="C87" s="7" t="n">
        <v>2</v>
      </c>
      <c r="D87" s="8" t="inlineStr">
        <is>
          <t>Népi hangszerek</t>
        </is>
      </c>
      <c r="E87" s="8" t="n"/>
      <c r="F87" s="7" t="inlineStr">
        <is>
          <t>Citera</t>
        </is>
      </c>
      <c r="G87" s="7" t="inlineStr">
        <is>
          <t>Tekerő</t>
        </is>
      </c>
      <c r="H87" s="7" t="inlineStr">
        <is>
          <t>Doromb</t>
        </is>
      </c>
      <c r="I87" s="7" t="inlineStr">
        <is>
          <t>Furulya</t>
        </is>
      </c>
      <c r="J87" s="7" t="n"/>
      <c r="K87" s="8" t="n"/>
    </row>
    <row r="88">
      <c r="A88" s="7" t="inlineStr">
        <is>
          <t>rsz-023</t>
        </is>
      </c>
      <c r="B88" s="7" t="inlineStr">
        <is>
          <t>2026-10-15</t>
        </is>
      </c>
      <c r="C88" s="7" t="n">
        <v>3</v>
      </c>
      <c r="D88" s="8" t="inlineStr">
        <is>
          <t>A FÁRADT rokon értelmű szavai</t>
        </is>
      </c>
      <c r="E88" s="8" t="n"/>
      <c r="F88" s="7" t="inlineStr">
        <is>
          <t>Nyúzott</t>
        </is>
      </c>
      <c r="G88" s="7" t="inlineStr">
        <is>
          <t>Kimerült</t>
        </is>
      </c>
      <c r="H88" s="7" t="inlineStr">
        <is>
          <t>Bágyadt</t>
        </is>
      </c>
      <c r="I88" s="7" t="inlineStr">
        <is>
          <t>Törődött</t>
        </is>
      </c>
      <c r="J88" s="7" t="n"/>
      <c r="K88" s="8" t="n"/>
    </row>
    <row r="89">
      <c r="A89" s="7" t="inlineStr">
        <is>
          <t>rsz-023</t>
        </is>
      </c>
      <c r="B89" s="7" t="inlineStr">
        <is>
          <t>2026-10-15</t>
        </is>
      </c>
      <c r="C89" s="7" t="n">
        <v>4</v>
      </c>
      <c r="D89" s="8" t="inlineStr">
        <is>
          <t>Állat rejtőzik a szóban</t>
        </is>
      </c>
      <c r="E89" s="8" t="inlineStr">
        <is>
          <t>kos, sas, borz, rák</t>
        </is>
      </c>
      <c r="F89" s="7" t="inlineStr">
        <is>
          <t>Kosár</t>
        </is>
      </c>
      <c r="G89" s="7" t="inlineStr">
        <is>
          <t>Sasszé</t>
        </is>
      </c>
      <c r="H89" s="7" t="inlineStr">
        <is>
          <t>Borzaszt</t>
        </is>
      </c>
      <c r="I89" s="7" t="inlineStr">
        <is>
          <t>Rákattan</t>
        </is>
      </c>
      <c r="J89" s="7" t="n"/>
      <c r="K89" s="8" t="inlineStr">
        <is>
          <t>Sasszé = oldalazó tánclépés</t>
        </is>
      </c>
    </row>
    <row r="90">
      <c r="A90" s="7" t="inlineStr">
        <is>
          <t>rsz-024</t>
        </is>
      </c>
      <c r="B90" s="7" t="inlineStr">
        <is>
          <t>2026-10-16</t>
        </is>
      </c>
      <c r="C90" s="7" t="n">
        <v>1</v>
      </c>
      <c r="D90" s="8" t="inlineStr">
        <is>
          <t>Zöldségek</t>
        </is>
      </c>
      <c r="E90" s="8" t="n"/>
      <c r="F90" s="7" t="inlineStr">
        <is>
          <t>Retek</t>
        </is>
      </c>
      <c r="G90" s="7" t="inlineStr">
        <is>
          <t>Cékla</t>
        </is>
      </c>
      <c r="H90" s="7" t="inlineStr">
        <is>
          <t>Karalábé</t>
        </is>
      </c>
      <c r="I90" s="7" t="inlineStr">
        <is>
          <t>Padlizsán</t>
        </is>
      </c>
      <c r="J90" s="7" t="n"/>
      <c r="K90" s="8" t="n"/>
    </row>
    <row r="91">
      <c r="A91" s="7" t="inlineStr">
        <is>
          <t>rsz-024</t>
        </is>
      </c>
      <c r="B91" s="7" t="inlineStr">
        <is>
          <t>2026-10-16</t>
        </is>
      </c>
      <c r="C91" s="7" t="n">
        <v>2</v>
      </c>
      <c r="D91" s="8" t="inlineStr">
        <is>
          <t>Ami a padláson van</t>
        </is>
      </c>
      <c r="E91" s="8" t="n"/>
      <c r="F91" s="7" t="inlineStr">
        <is>
          <t>Pókháló</t>
        </is>
      </c>
      <c r="G91" s="7" t="inlineStr">
        <is>
          <t>Láda</t>
        </is>
      </c>
      <c r="H91" s="7" t="inlineStr">
        <is>
          <t>Gerenda</t>
        </is>
      </c>
      <c r="I91" s="7" t="inlineStr">
        <is>
          <t>Lom</t>
        </is>
      </c>
      <c r="J91" s="7" t="n"/>
      <c r="K91" s="8" t="n"/>
    </row>
    <row r="92">
      <c r="A92" s="7" t="inlineStr">
        <is>
          <t>rsz-024</t>
        </is>
      </c>
      <c r="B92" s="7" t="inlineStr">
        <is>
          <t>2026-10-16</t>
        </is>
      </c>
      <c r="C92" s="7" t="n">
        <v>3</v>
      </c>
      <c r="D92" s="8" t="inlineStr">
        <is>
          <t>Amit a szél csinál</t>
        </is>
      </c>
      <c r="E92" s="8" t="n"/>
      <c r="F92" s="7" t="inlineStr">
        <is>
          <t>Süvít</t>
        </is>
      </c>
      <c r="G92" s="7" t="inlineStr">
        <is>
          <t>Zúg</t>
        </is>
      </c>
      <c r="H92" s="7" t="inlineStr">
        <is>
          <t>Fütyül</t>
        </is>
      </c>
      <c r="I92" s="7" t="inlineStr">
        <is>
          <t>Tombol</t>
        </is>
      </c>
      <c r="J92" s="7" t="n"/>
      <c r="K92" s="8" t="n"/>
    </row>
    <row r="93">
      <c r="A93" s="7" t="inlineStr">
        <is>
          <t>rsz-024</t>
        </is>
      </c>
      <c r="B93" s="7" t="inlineStr">
        <is>
          <t>2026-10-16</t>
        </is>
      </c>
      <c r="C93" s="7" t="n">
        <v>4</v>
      </c>
      <c r="D93" s="8" t="inlineStr">
        <is>
          <t>Ország rejtőzik a szóban</t>
        </is>
      </c>
      <c r="E93" s="8" t="inlineStr">
        <is>
          <t>Kína, Irán, India, Omán</t>
        </is>
      </c>
      <c r="F93" s="7" t="inlineStr">
        <is>
          <t>Kínál</t>
        </is>
      </c>
      <c r="G93" s="7" t="inlineStr">
        <is>
          <t>Kirándul</t>
        </is>
      </c>
      <c r="H93" s="7" t="inlineStr">
        <is>
          <t>Indián</t>
        </is>
      </c>
      <c r="I93" s="7" t="inlineStr">
        <is>
          <t>Románc</t>
        </is>
      </c>
      <c r="J93" s="7" t="n"/>
      <c r="K93" s="8" t="n"/>
    </row>
    <row r="94">
      <c r="A94" s="7" t="inlineStr">
        <is>
          <t>rsz-001</t>
        </is>
      </c>
      <c r="B94" s="7" t="inlineStr">
        <is>
          <t>2026-12-24</t>
        </is>
      </c>
      <c r="C94" s="7" t="n">
        <v>1</v>
      </c>
      <c r="D94" s="8" t="inlineStr">
        <is>
          <t>Karácsonyfára kerül</t>
        </is>
      </c>
      <c r="E94" s="8" t="n"/>
      <c r="F94" s="7" t="inlineStr">
        <is>
          <t>Gömb</t>
        </is>
      </c>
      <c r="G94" s="7" t="inlineStr">
        <is>
          <t>Csillag</t>
        </is>
      </c>
      <c r="H94" s="7" t="inlineStr">
        <is>
          <t>Angyalhaj</t>
        </is>
      </c>
      <c r="I94" s="7" t="inlineStr">
        <is>
          <t>Égősor</t>
        </is>
      </c>
      <c r="J94" s="7" t="n"/>
      <c r="K94" s="8" t="n"/>
    </row>
    <row r="95">
      <c r="A95" s="7" t="inlineStr">
        <is>
          <t>rsz-001</t>
        </is>
      </c>
      <c r="B95" s="7" t="inlineStr">
        <is>
          <t>2026-12-24</t>
        </is>
      </c>
      <c r="C95" s="7" t="n">
        <v>2</v>
      </c>
      <c r="D95" s="8" t="inlineStr">
        <is>
          <t>Tárgyak a Reszkessetek, betörők!-ből</t>
        </is>
      </c>
      <c r="E95" s="8" t="n"/>
      <c r="F95" s="7" t="inlineStr">
        <is>
          <t>Vasaló</t>
        </is>
      </c>
      <c r="G95" s="7" t="inlineStr">
        <is>
          <t>Tarantula</t>
        </is>
      </c>
      <c r="H95" s="7" t="inlineStr">
        <is>
          <t>Légpuska</t>
        </is>
      </c>
      <c r="I95" s="7" t="inlineStr">
        <is>
          <t>Festék</t>
        </is>
      </c>
      <c r="J95" s="7" t="n"/>
      <c r="K95" s="8" t="n"/>
    </row>
    <row r="96">
      <c r="A96" s="7" t="inlineStr">
        <is>
          <t>rsz-001</t>
        </is>
      </c>
      <c r="B96" s="7" t="inlineStr">
        <is>
          <t>2026-12-24</t>
        </is>
      </c>
      <c r="C96" s="7" t="n">
        <v>3</v>
      </c>
      <c r="D96" s="8" t="inlineStr">
        <is>
          <t>Hangszerek, amik mást is jelentenek</t>
        </is>
      </c>
      <c r="E96" s="8" t="n"/>
      <c r="F96" s="7" t="inlineStr">
        <is>
          <t>Orgona</t>
        </is>
      </c>
      <c r="G96" s="7" t="inlineStr">
        <is>
          <t>Duda</t>
        </is>
      </c>
      <c r="H96" s="7" t="inlineStr">
        <is>
          <t>Dob</t>
        </is>
      </c>
      <c r="I96" s="7" t="inlineStr">
        <is>
          <t>Kürt</t>
        </is>
      </c>
      <c r="J96" s="7" t="n"/>
      <c r="K96" s="8" t="n"/>
    </row>
    <row r="97">
      <c r="A97" s="7" t="inlineStr">
        <is>
          <t>rsz-001</t>
        </is>
      </c>
      <c r="B97" s="7" t="inlineStr">
        <is>
          <t>2026-12-24</t>
        </is>
      </c>
      <c r="C97" s="7" t="n">
        <v>4</v>
      </c>
      <c r="D97" s="8" t="inlineStr">
        <is>
          <t>Amit fel lehet törni</t>
        </is>
      </c>
      <c r="E97" s="8" t="n"/>
      <c r="F97" s="7" t="inlineStr">
        <is>
          <t>Dió</t>
        </is>
      </c>
      <c r="G97" s="7" t="inlineStr">
        <is>
          <t>Kód</t>
        </is>
      </c>
      <c r="H97" s="7" t="inlineStr">
        <is>
          <t>Jég</t>
        </is>
      </c>
      <c r="I97" s="7" t="inlineStr">
        <is>
          <t>Széf</t>
        </is>
      </c>
      <c r="J97" s="7" t="inlineStr">
        <is>
          <t>Dió (karácsonyfadísz is)</t>
        </is>
      </c>
      <c r="K97" s="8" t="n"/>
    </row>
    <row r="98" ht="27.6" customHeight="1">
      <c r="A98" s="7" t="inlineStr">
        <is>
          <t>rsz-025</t>
        </is>
      </c>
      <c r="B98" s="7" t="inlineStr">
        <is>
          <t>2026-10-17</t>
        </is>
      </c>
      <c r="C98" s="7" t="n">
        <v>1</v>
      </c>
      <c r="D98" s="8" t="inlineStr">
        <is>
          <t>Magyar találmányok</t>
        </is>
      </c>
      <c r="E98" s="8" t="inlineStr">
        <is>
          <t>Irinyi (gyufa), Jedlik (dinamó, szódavíz), Bíró (golyóstoll)</t>
        </is>
      </c>
      <c r="F98" s="7" t="inlineStr">
        <is>
          <t>Gyufa</t>
        </is>
      </c>
      <c r="G98" s="7" t="inlineStr">
        <is>
          <t>Dinamó</t>
        </is>
      </c>
      <c r="H98" s="7" t="inlineStr">
        <is>
          <t>Szódavíz</t>
        </is>
      </c>
      <c r="I98" s="7" t="inlineStr">
        <is>
          <t>Golyóstoll</t>
        </is>
      </c>
      <c r="J98" s="7" t="n"/>
      <c r="K98" s="8" t="inlineStr">
        <is>
          <t>Belépő csoport. Golyóstoll 10 karakter - kétsoros doboz, és ez az egyetlen hosszú szó itt.</t>
        </is>
      </c>
    </row>
    <row r="99" ht="27.6" customHeight="1">
      <c r="A99" s="7" t="inlineStr">
        <is>
          <t>rsz-025</t>
        </is>
      </c>
      <c r="B99" s="7" t="inlineStr">
        <is>
          <t>2026-10-17</t>
        </is>
      </c>
      <c r="C99" s="7" t="n">
        <v>2</v>
      </c>
      <c r="D99" s="8" t="inlineStr">
        <is>
          <t>Fizikai mennyiségek</t>
        </is>
      </c>
      <c r="E99" s="8" t="n"/>
      <c r="F99" s="7" t="inlineStr">
        <is>
          <t>Munka</t>
        </is>
      </c>
      <c r="G99" s="7" t="inlineStr">
        <is>
          <t>Erő</t>
        </is>
      </c>
      <c r="H99" s="7" t="inlineStr">
        <is>
          <t>Nyomás</t>
        </is>
      </c>
      <c r="I99" s="7" t="inlineStr">
        <is>
          <t>Energia</t>
        </is>
      </c>
      <c r="J99" s="7" t="n"/>
      <c r="K99" s="8" t="inlineStr">
        <is>
          <t>Egyik sem mértékegység - csak ez választja el a 3. csoporttól. Szándékos ütközés.</t>
        </is>
      </c>
    </row>
    <row r="100" ht="27.6" customHeight="1">
      <c r="A100" s="7" t="inlineStr">
        <is>
          <t>rsz-025</t>
        </is>
      </c>
      <c r="B100" s="7" t="inlineStr">
        <is>
          <t>2026-10-17</t>
        </is>
      </c>
      <c r="C100" s="7" t="n">
        <v>3</v>
      </c>
      <c r="D100" s="8" t="inlineStr">
        <is>
          <t>Mértékegységek</t>
        </is>
      </c>
      <c r="E100" s="8" t="inlineStr">
        <is>
          <t>1 láb = 30,48 cm; 1 karát = 0,2 gramm</t>
        </is>
      </c>
      <c r="F100" s="7" t="inlineStr">
        <is>
          <t>Láb</t>
        </is>
      </c>
      <c r="G100" s="7" t="inlineStr">
        <is>
          <t>Volt</t>
        </is>
      </c>
      <c r="H100" s="7" t="inlineStr">
        <is>
          <t>Karát</t>
        </is>
      </c>
      <c r="I100" s="7" t="inlineStr">
        <is>
          <t>Év</t>
        </is>
      </c>
      <c r="J100" s="7" t="n"/>
      <c r="K100" s="8" t="inlineStr">
        <is>
          <t>Láb testrész is, de nincs testrész-csoport itt. Volt = a "van" múlt ideje.</t>
        </is>
      </c>
    </row>
    <row r="101" ht="27.6" customHeight="1">
      <c r="A101" s="7" t="inlineStr">
        <is>
          <t>rsz-025</t>
        </is>
      </c>
      <c r="B101" s="7" t="inlineStr">
        <is>
          <t>2026-10-17</t>
        </is>
      </c>
      <c r="C101" s="7" t="n">
        <v>4</v>
      </c>
      <c r="D101" s="8" t="inlineStr">
        <is>
          <t>Nyelvtani fogalmak</t>
        </is>
      </c>
      <c r="E101" s="8" t="n"/>
      <c r="F101" s="7" t="inlineStr">
        <is>
          <t>Eset</t>
        </is>
      </c>
      <c r="G101" s="7" t="inlineStr">
        <is>
          <t>Mód</t>
        </is>
      </c>
      <c r="H101" s="7" t="inlineStr">
        <is>
          <t>Szám</t>
        </is>
      </c>
      <c r="I101" s="7" t="inlineStr">
        <is>
          <t>Személy</t>
        </is>
      </c>
      <c r="J101" s="7" t="n"/>
      <c r="K101" s="8" t="inlineStr">
        <is>
          <t>Mind a négy ragozási kategória. A Szám matematikainak tűnik, de nincs matek-csoport itt.</t>
        </is>
      </c>
    </row>
    <row r="102" ht="41.4" customHeight="1">
      <c r="A102" s="7" t="inlineStr">
        <is>
          <t>rsz-026</t>
        </is>
      </c>
      <c r="B102" s="7" t="inlineStr">
        <is>
          <t>2026-10-18</t>
        </is>
      </c>
      <c r="C102" s="7" t="n">
        <v>1</v>
      </c>
      <c r="D102" s="8" t="inlineStr">
        <is>
          <t>Testrészek</t>
        </is>
      </c>
      <c r="E102" s="8" t="n"/>
      <c r="F102" s="7" t="inlineStr">
        <is>
          <t>Írisz</t>
        </is>
      </c>
      <c r="G102" s="7" t="inlineStr">
        <is>
          <t>Lép</t>
        </is>
      </c>
      <c r="H102" s="7" t="inlineStr">
        <is>
          <t>Hörgő</t>
        </is>
      </c>
      <c r="I102" s="7" t="inlineStr">
        <is>
          <t>Ér</t>
        </is>
      </c>
      <c r="J102" s="7" t="n"/>
      <c r="K102" s="8" t="inlineStr">
        <is>
          <t>FIGYELEM: a szept. 21-i "1" feladványban is volt Testrészek csoport (könyök, boka, térd, tarkó) - más szavakkal. Lép és Ér ige is.</t>
        </is>
      </c>
    </row>
    <row r="103" ht="41.4" customHeight="1">
      <c r="A103" s="7" t="inlineStr">
        <is>
          <t>rsz-026</t>
        </is>
      </c>
      <c r="B103" s="7" t="inlineStr">
        <is>
          <t>2026-10-18</t>
        </is>
      </c>
      <c r="C103" s="7" t="n">
        <v>2</v>
      </c>
      <c r="D103" s="8" t="inlineStr">
        <is>
          <t>Szavak az Anyám tyúkjából</t>
        </is>
      </c>
      <c r="E103" s="8" t="inlineStr">
        <is>
          <t>Petőfi Sándor verse</t>
        </is>
      </c>
      <c r="F103" s="7" t="inlineStr">
        <is>
          <t>Morzsa</t>
        </is>
      </c>
      <c r="G103" s="7" t="inlineStr">
        <is>
          <t>Szoba</t>
        </is>
      </c>
      <c r="H103" s="7" t="inlineStr">
        <is>
          <t>Galamb</t>
        </is>
      </c>
      <c r="I103" s="7" t="inlineStr">
        <is>
          <t>Kő</t>
        </is>
      </c>
      <c r="J103" s="7" t="n"/>
      <c r="K103" s="8" t="inlineStr">
        <is>
          <t>Mind a négy szó szó szerint szerepel a versben (ellenőrizve a kritikai kiadás szövegén). Morzsa a kutya neve.</t>
        </is>
      </c>
    </row>
    <row r="104" ht="27.6" customHeight="1">
      <c r="A104" s="7" t="inlineStr">
        <is>
          <t>rsz-026</t>
        </is>
      </c>
      <c r="B104" s="7" t="inlineStr">
        <is>
          <t>2026-10-18</t>
        </is>
      </c>
      <c r="C104" s="7" t="n">
        <v>3</v>
      </c>
      <c r="D104" s="8" t="inlineStr">
        <is>
          <t>Kottajelek</t>
        </is>
      </c>
      <c r="E104" s="8" t="inlineStr">
        <is>
          <t>A kereszt félhanggal feljebb emel</t>
        </is>
      </c>
      <c r="F104" s="7" t="inlineStr">
        <is>
          <t>Kulcs</t>
        </is>
      </c>
      <c r="G104" s="7" t="inlineStr">
        <is>
          <t>Szünet</t>
        </is>
      </c>
      <c r="H104" s="7" t="inlineStr">
        <is>
          <t>Kereszt</t>
        </is>
      </c>
      <c r="I104" s="7" t="inlineStr">
        <is>
          <t>Ütem</t>
        </is>
      </c>
      <c r="J104" s="7" t="n"/>
      <c r="K104" s="8" t="inlineStr">
        <is>
          <t>Mind valódi kottaelem; egyik sem matematikai fogalom.</t>
        </is>
      </c>
    </row>
    <row r="105" ht="27.6" customHeight="1">
      <c r="A105" s="7" t="inlineStr">
        <is>
          <t>rsz-026</t>
        </is>
      </c>
      <c r="B105" s="7" t="inlineStr">
        <is>
          <t>2026-10-18</t>
        </is>
      </c>
      <c r="C105" s="7" t="n">
        <v>4</v>
      </c>
      <c r="D105" s="8" t="inlineStr">
        <is>
          <t>Matematikai fogalmak</t>
        </is>
      </c>
      <c r="E105" s="8" t="n"/>
      <c r="F105" s="7" t="inlineStr">
        <is>
          <t>Tört</t>
        </is>
      </c>
      <c r="G105" s="7" t="inlineStr">
        <is>
          <t>Gyök</t>
        </is>
      </c>
      <c r="H105" s="7" t="inlineStr">
        <is>
          <t>Szög</t>
        </is>
      </c>
      <c r="I105" s="7" t="inlineStr">
        <is>
          <t>Sor</t>
        </is>
      </c>
      <c r="J105" s="7" t="n"/>
      <c r="K105" s="8" t="inlineStr">
        <is>
          <t>Tört ige is, Szög = vasszög is, Sor = sorozat. A 3. csoporttal szándékosan ütközik.</t>
        </is>
      </c>
    </row>
    <row r="106" ht="27.6" customHeight="1">
      <c r="A106" s="7" t="inlineStr">
        <is>
          <t>rsz-027</t>
        </is>
      </c>
      <c r="B106" s="7" t="inlineStr">
        <is>
          <t>2026-10-19</t>
        </is>
      </c>
      <c r="C106" s="7" t="n">
        <v>1</v>
      </c>
      <c r="D106" s="8" t="inlineStr">
        <is>
          <t>Kémiai elemek</t>
        </is>
      </c>
      <c r="E106" s="8" t="n"/>
      <c r="F106" s="7" t="inlineStr">
        <is>
          <t>Szén</t>
        </is>
      </c>
      <c r="G106" s="7" t="inlineStr">
        <is>
          <t>Vas</t>
        </is>
      </c>
      <c r="H106" s="7" t="inlineStr">
        <is>
          <t>Hélium</t>
        </is>
      </c>
      <c r="I106" s="7" t="inlineStr">
        <is>
          <t>Arany</t>
        </is>
      </c>
      <c r="J106" s="7" t="n"/>
      <c r="K106" s="8" t="inlineStr">
        <is>
          <t>Belépő csoport; a Hélium adja meg. Arany költő neve és szín is.</t>
        </is>
      </c>
    </row>
    <row r="107" ht="27.6" customHeight="1">
      <c r="A107" s="7" t="inlineStr">
        <is>
          <t>rsz-027</t>
        </is>
      </c>
      <c r="B107" s="7" t="inlineStr">
        <is>
          <t>2026-10-19</t>
        </is>
      </c>
      <c r="C107" s="7" t="n">
        <v>2</v>
      </c>
      <c r="D107" s="8" t="inlineStr">
        <is>
          <t>Növényi részek</t>
        </is>
      </c>
      <c r="E107" s="8" t="inlineStr">
        <is>
          <t>A bibe a termő felső, ragadós része</t>
        </is>
      </c>
      <c r="F107" s="7" t="inlineStr">
        <is>
          <t>Bibe</t>
        </is>
      </c>
      <c r="G107" s="7" t="inlineStr">
        <is>
          <t>Szár</t>
        </is>
      </c>
      <c r="H107" s="7" t="inlineStr">
        <is>
          <t>Bimbó</t>
        </is>
      </c>
      <c r="I107" s="7" t="inlineStr">
        <is>
          <t>Rügy</t>
        </is>
      </c>
      <c r="J107" s="7" t="n"/>
      <c r="K107" s="8" t="inlineStr">
        <is>
          <t>Bimbó testrész is - de nincs testrész-csoport itt. Ez a csapda.</t>
        </is>
      </c>
    </row>
    <row r="108">
      <c r="A108" s="7" t="inlineStr">
        <is>
          <t>rsz-027</t>
        </is>
      </c>
      <c r="B108" s="7" t="inlineStr">
        <is>
          <t>2026-10-19</t>
        </is>
      </c>
      <c r="C108" s="7" t="n">
        <v>3</v>
      </c>
      <c r="D108" s="8" t="inlineStr">
        <is>
          <t>Hajórészek</t>
        </is>
      </c>
      <c r="E108" s="8" t="n"/>
      <c r="F108" s="7" t="inlineStr">
        <is>
          <t>Orr</t>
        </is>
      </c>
      <c r="G108" s="7" t="inlineStr">
        <is>
          <t>Far</t>
        </is>
      </c>
      <c r="H108" s="7" t="inlineStr">
        <is>
          <t>Árboc</t>
        </is>
      </c>
      <c r="I108" s="7" t="inlineStr">
        <is>
          <t>Kormány</t>
        </is>
      </c>
      <c r="J108" s="7" t="n"/>
      <c r="K108" s="8" t="inlineStr">
        <is>
          <t>Orr és Far testrész is, Kormány = állam is.</t>
        </is>
      </c>
    </row>
    <row r="109" ht="41.4" customHeight="1">
      <c r="A109" s="7" t="inlineStr">
        <is>
          <t>rsz-027</t>
        </is>
      </c>
      <c r="B109" s="7" t="inlineStr">
        <is>
          <t>2026-10-19</t>
        </is>
      </c>
      <c r="C109" s="7" t="n">
        <v>4</v>
      </c>
      <c r="D109" s="8" t="inlineStr">
        <is>
          <t>Felszínformák</t>
        </is>
      </c>
      <c r="E109" s="8" t="inlineStr">
        <is>
          <t>A nyereg két csúcs közti bemélyedés</t>
        </is>
      </c>
      <c r="F109" s="7" t="inlineStr">
        <is>
          <t>Fok</t>
        </is>
      </c>
      <c r="G109" s="7" t="inlineStr">
        <is>
          <t>Öböl</t>
        </is>
      </c>
      <c r="H109" s="7" t="inlineStr">
        <is>
          <t>Nyereg</t>
        </is>
      </c>
      <c r="I109" s="7" t="inlineStr">
        <is>
          <t>Medence</t>
        </is>
      </c>
      <c r="J109" s="7" t="n"/>
      <c r="K109" s="8" t="inlineStr">
        <is>
          <t>Medence testrész is, Fok = hőfok is. A 3. csoporttal együtt egy nem létező testrész-csoportot sugall - ez a feladvány fő csapdája.</t>
        </is>
      </c>
    </row>
    <row r="110">
      <c r="A110" s="7" t="inlineStr">
        <is>
          <t>rsz-028</t>
        </is>
      </c>
      <c r="B110" s="7" t="inlineStr">
        <is>
          <t>2026-10-20</t>
        </is>
      </c>
      <c r="C110" s="7" t="n">
        <v>1</v>
      </c>
      <c r="D110" s="8" t="inlineStr">
        <is>
          <t>Ami a cukrászdában van</t>
        </is>
      </c>
      <c r="E110" s="8" t="n"/>
      <c r="F110" s="7" t="inlineStr">
        <is>
          <t>Fagylalt</t>
        </is>
      </c>
      <c r="G110" s="7" t="inlineStr">
        <is>
          <t>Krémes</t>
        </is>
      </c>
      <c r="H110" s="7" t="inlineStr">
        <is>
          <t>Somlói</t>
        </is>
      </c>
      <c r="I110" s="7" t="inlineStr">
        <is>
          <t>Rétes</t>
        </is>
      </c>
      <c r="J110" s="7" t="n"/>
      <c r="K110" s="8" t="n"/>
    </row>
    <row r="111">
      <c r="A111" s="7" t="inlineStr">
        <is>
          <t>rsz-028</t>
        </is>
      </c>
      <c r="B111" s="7" t="inlineStr">
        <is>
          <t>2026-10-20</t>
        </is>
      </c>
      <c r="C111" s="7" t="n">
        <v>2</v>
      </c>
      <c r="D111" s="8" t="inlineStr">
        <is>
          <t>A madár testrészei</t>
        </is>
      </c>
      <c r="E111" s="8" t="n"/>
      <c r="F111" s="7" t="inlineStr">
        <is>
          <t>Csőr</t>
        </is>
      </c>
      <c r="G111" s="7" t="inlineStr">
        <is>
          <t>Toll</t>
        </is>
      </c>
      <c r="H111" s="7" t="inlineStr">
        <is>
          <t>Szárny</t>
        </is>
      </c>
      <c r="I111" s="7" t="inlineStr">
        <is>
          <t>Begy</t>
        </is>
      </c>
      <c r="J111" s="7" t="n"/>
      <c r="K111" s="8" t="inlineStr">
        <is>
          <t>Toll = íróeszköz is, Szárny = épületszárny is.</t>
        </is>
      </c>
    </row>
    <row r="112" ht="27.6" customHeight="1">
      <c r="A112" s="7" t="inlineStr">
        <is>
          <t>rsz-028</t>
        </is>
      </c>
      <c r="B112" s="7" t="inlineStr">
        <is>
          <t>2026-10-20</t>
        </is>
      </c>
      <c r="C112" s="7" t="n">
        <v>3</v>
      </c>
      <c r="D112" s="8" t="inlineStr">
        <is>
          <t>Az óra részei</t>
        </is>
      </c>
      <c r="E112" s="8" t="n"/>
      <c r="F112" s="7" t="inlineStr">
        <is>
          <t>Mutató</t>
        </is>
      </c>
      <c r="G112" s="7" t="inlineStr">
        <is>
          <t>Rugó</t>
        </is>
      </c>
      <c r="H112" s="7" t="inlineStr">
        <is>
          <t>Inga</t>
        </is>
      </c>
      <c r="I112" s="7" t="inlineStr">
        <is>
          <t>Korona</t>
        </is>
      </c>
      <c r="J112" s="7" t="n"/>
      <c r="K112" s="8" t="inlineStr">
        <is>
          <t>Lánc = nyaklánc is, Inga = fizikai inga is, Mutató = mutatóujj és mutatószám is.</t>
        </is>
      </c>
    </row>
    <row r="113" ht="27.6" customHeight="1">
      <c r="A113" s="7" t="inlineStr">
        <is>
          <t>rsz-028</t>
        </is>
      </c>
      <c r="B113" s="7" t="inlineStr">
        <is>
          <t>2026-10-20</t>
        </is>
      </c>
      <c r="C113" s="7" t="n">
        <v>4</v>
      </c>
      <c r="D113" s="8" t="inlineStr">
        <is>
          <t>Optikai fogalmak</t>
        </is>
      </c>
      <c r="E113" s="8" t="n"/>
      <c r="F113" s="7" t="inlineStr">
        <is>
          <t>Fény</t>
        </is>
      </c>
      <c r="G113" s="7" t="inlineStr">
        <is>
          <t>Árnyék</t>
        </is>
      </c>
      <c r="H113" s="7" t="inlineStr">
        <is>
          <t>Tükör</t>
        </is>
      </c>
      <c r="I113" s="7" t="inlineStr">
        <is>
          <t>Lencse</t>
        </is>
      </c>
      <c r="J113" s="7" t="n"/>
      <c r="K113" s="8" t="inlineStr">
        <is>
          <t>Lencse = étel is. A 3. csoporttal ütközik: az inga és a tükör is "fizikaóra-szagú".</t>
        </is>
      </c>
    </row>
    <row r="114">
      <c r="A114" s="7" t="inlineStr">
        <is>
          <t>rsz-029</t>
        </is>
      </c>
      <c r="B114" s="7" t="inlineStr">
        <is>
          <t>2026-10-21</t>
        </is>
      </c>
      <c r="C114" s="7" t="n">
        <v>1</v>
      </c>
      <c r="D114" s="8" t="inlineStr">
        <is>
          <t>Magyar sörmárkák</t>
        </is>
      </c>
      <c r="E114" s="8" t="n"/>
      <c r="F114" s="7" t="inlineStr">
        <is>
          <t>Soproni</t>
        </is>
      </c>
      <c r="G114" s="7" t="inlineStr">
        <is>
          <t>Dreher</t>
        </is>
      </c>
      <c r="H114" s="7" t="inlineStr">
        <is>
          <t>Borsodi</t>
        </is>
      </c>
      <c r="I114" s="7" t="inlineStr">
        <is>
          <t>Kőbányai</t>
        </is>
      </c>
      <c r="J114" s="7" t="n"/>
      <c r="K114" s="8" t="n"/>
    </row>
    <row r="115" ht="27.6" customHeight="1">
      <c r="A115" s="7" t="inlineStr">
        <is>
          <t>rsz-029</t>
        </is>
      </c>
      <c r="B115" s="7" t="inlineStr">
        <is>
          <t>2026-10-21</t>
        </is>
      </c>
      <c r="C115" s="7" t="n">
        <v>2</v>
      </c>
      <c r="D115" s="8" t="inlineStr">
        <is>
          <t>A könyv részei</t>
        </is>
      </c>
      <c r="E115" s="8" t="inlineStr">
        <is>
          <t>A fül a borító behajtott széle</t>
        </is>
      </c>
      <c r="F115" s="7" t="inlineStr">
        <is>
          <t>Gerinc</t>
        </is>
      </c>
      <c r="G115" s="7" t="inlineStr">
        <is>
          <t>Fül</t>
        </is>
      </c>
      <c r="H115" s="7" t="inlineStr">
        <is>
          <t>Margó</t>
        </is>
      </c>
      <c r="I115" s="7" t="inlineStr">
        <is>
          <t>Kötés</t>
        </is>
      </c>
      <c r="J115" s="7" t="n"/>
      <c r="K115" s="8" t="inlineStr">
        <is>
          <t>Gerinc és Fül testrész is, Kötés = kézimunka és sérülés is. Nincs testrész-csoport itt.</t>
        </is>
      </c>
    </row>
    <row r="116">
      <c r="A116" s="7" t="inlineStr">
        <is>
          <t>rsz-029</t>
        </is>
      </c>
      <c r="B116" s="7" t="inlineStr">
        <is>
          <t>2026-10-21</t>
        </is>
      </c>
      <c r="C116" s="7" t="n">
        <v>3</v>
      </c>
      <c r="D116" s="8" t="inlineStr">
        <is>
          <t>Közgazdasági fogalmak</t>
        </is>
      </c>
      <c r="E116" s="8" t="n"/>
      <c r="F116" s="7" t="inlineStr">
        <is>
          <t>Kamat</t>
        </is>
      </c>
      <c r="G116" s="7" t="inlineStr">
        <is>
          <t>Hozam</t>
        </is>
      </c>
      <c r="H116" s="7" t="inlineStr">
        <is>
          <t>Kínálat</t>
        </is>
      </c>
      <c r="I116" s="7" t="inlineStr">
        <is>
          <t>Mérleg</t>
        </is>
      </c>
      <c r="J116" s="7" t="n"/>
      <c r="K116" s="8" t="inlineStr">
        <is>
          <t>Mérleg = csillagjegy és eszköz is.</t>
        </is>
      </c>
    </row>
    <row r="117" ht="27.6" customHeight="1">
      <c r="A117" s="7" t="inlineStr">
        <is>
          <t>rsz-029</t>
        </is>
      </c>
      <c r="B117" s="7" t="inlineStr">
        <is>
          <t>2026-10-21</t>
        </is>
      </c>
      <c r="C117" s="7" t="n">
        <v>4</v>
      </c>
      <c r="D117" s="8" t="inlineStr">
        <is>
          <t>Jogi fogalmak</t>
        </is>
      </c>
      <c r="E117" s="8" t="n"/>
      <c r="F117" s="7" t="inlineStr">
        <is>
          <t>Per</t>
        </is>
      </c>
      <c r="G117" s="7" t="inlineStr">
        <is>
          <t>Vád</t>
        </is>
      </c>
      <c r="H117" s="7" t="inlineStr">
        <is>
          <t>Tanú</t>
        </is>
      </c>
      <c r="I117" s="7" t="inlineStr">
        <is>
          <t>Ítélet</t>
        </is>
      </c>
      <c r="J117" s="7" t="n"/>
      <c r="K117" s="8" t="inlineStr">
        <is>
          <t>Per = osztásjel is ("öt per kettő"). A 3. csoporttal ütközik: mindkettő hivatalos-absztrakt szókincs.</t>
        </is>
      </c>
    </row>
    <row r="118">
      <c r="A118" s="7" t="inlineStr">
        <is>
          <t>rsz-030</t>
        </is>
      </c>
      <c r="B118" s="7" t="inlineStr">
        <is>
          <t>2026-10-22</t>
        </is>
      </c>
      <c r="C118" s="7" t="n">
        <v>1</v>
      </c>
      <c r="D118" s="8" t="inlineStr">
        <is>
          <t>Konyhai eszközök</t>
        </is>
      </c>
      <c r="E118" s="8" t="n"/>
      <c r="F118" s="7" t="inlineStr">
        <is>
          <t>Habverő</t>
        </is>
      </c>
      <c r="G118" s="7" t="inlineStr">
        <is>
          <t>Fakanál</t>
        </is>
      </c>
      <c r="H118" s="7" t="inlineStr">
        <is>
          <t>Tepsi</t>
        </is>
      </c>
      <c r="I118" s="7" t="inlineStr">
        <is>
          <t>Merőkanál</t>
        </is>
      </c>
      <c r="J118" s="7" t="n"/>
      <c r="K118" s="8" t="inlineStr">
        <is>
          <t>Merőkanál 9 karakter - még egy sorba fér.</t>
        </is>
      </c>
    </row>
    <row r="119">
      <c r="A119" s="7" t="inlineStr">
        <is>
          <t>rsz-030</t>
        </is>
      </c>
      <c r="B119" s="7" t="inlineStr">
        <is>
          <t>2026-10-22</t>
        </is>
      </c>
      <c r="C119" s="7" t="n">
        <v>2</v>
      </c>
      <c r="D119" s="8" t="inlineStr">
        <is>
          <t>A számítógépen</t>
        </is>
      </c>
      <c r="E119" s="8" t="n"/>
      <c r="F119" s="7" t="inlineStr">
        <is>
          <t>Egér</t>
        </is>
      </c>
      <c r="G119" s="7" t="inlineStr">
        <is>
          <t>Ablak</t>
        </is>
      </c>
      <c r="H119" s="7" t="inlineStr">
        <is>
          <t>Mappa</t>
        </is>
      </c>
      <c r="I119" s="7" t="inlineStr">
        <is>
          <t>Kukac</t>
        </is>
      </c>
      <c r="J119" s="7" t="n"/>
      <c r="K119" s="8" t="inlineStr">
        <is>
          <t>Mind a négy hétköznapi tárgy vagy állat.</t>
        </is>
      </c>
    </row>
    <row r="120" ht="27.6" customHeight="1">
      <c r="A120" s="7" t="inlineStr">
        <is>
          <t>rsz-030</t>
        </is>
      </c>
      <c r="B120" s="7" t="inlineStr">
        <is>
          <t>2026-10-22</t>
        </is>
      </c>
      <c r="C120" s="7" t="n">
        <v>3</v>
      </c>
      <c r="D120" s="8" t="inlineStr">
        <is>
          <t>A levél részei</t>
        </is>
      </c>
      <c r="E120" s="8" t="inlineStr">
        <is>
          <t>A fonák a levél alsó oldala</t>
        </is>
      </c>
      <c r="F120" s="7" t="inlineStr">
        <is>
          <t>Nyél</t>
        </is>
      </c>
      <c r="G120" s="7" t="inlineStr">
        <is>
          <t>Fonák</t>
        </is>
      </c>
      <c r="H120" s="7" t="inlineStr">
        <is>
          <t>Csúcs</t>
        </is>
      </c>
      <c r="I120" s="7" t="inlineStr">
        <is>
          <t>Szél</t>
        </is>
      </c>
      <c r="J120" s="7" t="n"/>
      <c r="K120" s="8" t="inlineStr">
        <is>
          <t>Szél = időjárás is, Csúcs = hegycsúcs is, Fonák = teniszütés is.</t>
        </is>
      </c>
    </row>
    <row r="121" ht="27.6" customHeight="1">
      <c r="A121" s="7" t="inlineStr">
        <is>
          <t>rsz-030</t>
        </is>
      </c>
      <c r="B121" s="7" t="inlineStr">
        <is>
          <t>2026-10-22</t>
        </is>
      </c>
      <c r="C121" s="7" t="n">
        <v>4</v>
      </c>
      <c r="D121" s="8" t="inlineStr">
        <is>
          <t>A fog részei</t>
        </is>
      </c>
      <c r="E121" s="8" t="n"/>
      <c r="F121" s="7" t="inlineStr">
        <is>
          <t>Zománc</t>
        </is>
      </c>
      <c r="G121" s="7" t="inlineStr">
        <is>
          <t>Gyökér</t>
        </is>
      </c>
      <c r="H121" s="7" t="inlineStr">
        <is>
          <t>Korona</t>
        </is>
      </c>
      <c r="I121" s="7" t="inlineStr">
        <is>
          <t>Ideg</t>
        </is>
      </c>
      <c r="J121" s="7" t="n"/>
      <c r="K121" s="8" t="inlineStr">
        <is>
          <t>Gyökér növényi rész is - ezzel húz a 3. csoport felé, de a levélnek nincs gyökere. Korona = pénznem is.</t>
        </is>
      </c>
    </row>
    <row r="122" ht="27.6" customHeight="1">
      <c r="A122" s="7" t="inlineStr">
        <is>
          <t>rsz-031</t>
        </is>
      </c>
      <c r="B122" s="12" t="inlineStr">
        <is>
          <t>2026-10-23</t>
        </is>
      </c>
      <c r="C122" s="7" t="n">
        <v>1</v>
      </c>
      <c r="D122" s="8" t="inlineStr">
        <is>
          <t>Magyar néptáncok</t>
        </is>
      </c>
      <c r="E122" s="8" t="n"/>
      <c r="F122" s="7" t="inlineStr">
        <is>
          <t>Verbunk</t>
        </is>
      </c>
      <c r="G122" s="7" t="inlineStr">
        <is>
          <t>Karikázó</t>
        </is>
      </c>
      <c r="H122" s="7" t="inlineStr">
        <is>
          <t>Ugrós</t>
        </is>
      </c>
      <c r="I122" s="7" t="inlineStr">
        <is>
          <t>Legényes</t>
        </is>
      </c>
      <c r="J122" s="7" t="n"/>
      <c r="K122" s="8" t="inlineStr">
        <is>
          <t>Ugrós és Legényes melléknévnek látszik. A Bál és a Muri táncos alkalom - a 2. csoport felé húz.</t>
        </is>
      </c>
    </row>
    <row r="123" ht="27.6" customHeight="1">
      <c r="A123" s="7" t="inlineStr">
        <is>
          <t>rsz-031</t>
        </is>
      </c>
      <c r="B123" s="12" t="inlineStr">
        <is>
          <t>2026-10-23</t>
        </is>
      </c>
      <c r="C123" s="7" t="n">
        <v>2</v>
      </c>
      <c r="D123" s="8" t="inlineStr">
        <is>
          <t>Vigadalom</t>
        </is>
      </c>
      <c r="E123" s="8" t="inlineStr">
        <is>
          <t>A dáridó nagy, hangos mulatozás</t>
        </is>
      </c>
      <c r="F123" s="7" t="inlineStr">
        <is>
          <t>Muri</t>
        </is>
      </c>
      <c r="G123" s="7" t="inlineStr">
        <is>
          <t>Bál</t>
        </is>
      </c>
      <c r="H123" s="7" t="inlineStr">
        <is>
          <t>Dáridó</t>
        </is>
      </c>
      <c r="I123" s="7" t="inlineStr">
        <is>
          <t>Mulatság</t>
        </is>
      </c>
      <c r="J123" s="7" t="n"/>
      <c r="K123" s="8" t="inlineStr">
        <is>
          <t>Egyik szó sem illik valóban más csoportba. Bál/Muri táncos alkalom, de nem tánc.</t>
        </is>
      </c>
    </row>
    <row r="124" ht="27.6" customHeight="1">
      <c r="A124" s="7" t="inlineStr">
        <is>
          <t>rsz-031</t>
        </is>
      </c>
      <c r="B124" s="12" t="inlineStr">
        <is>
          <t>2026-10-23</t>
        </is>
      </c>
      <c r="C124" s="7" t="n">
        <v>3</v>
      </c>
      <c r="D124" s="8" t="inlineStr">
        <is>
          <t>Kerti kéziszerszámok</t>
        </is>
      </c>
      <c r="E124" s="8" t="n"/>
      <c r="F124" s="7" t="inlineStr">
        <is>
          <t>Kasza</t>
        </is>
      </c>
      <c r="G124" s="7" t="inlineStr">
        <is>
          <t>Gereblye</t>
        </is>
      </c>
      <c r="H124" s="7" t="inlineStr">
        <is>
          <t>Kapa</t>
        </is>
      </c>
      <c r="I124" s="7" t="inlineStr">
        <is>
          <t>Villa</t>
        </is>
      </c>
      <c r="J124" s="7" t="n"/>
      <c r="K124" s="8" t="inlineStr">
        <is>
          <t>Kasza és Kapa vezetéknév is (1. csoport felé), Villa = evőeszköz és épület is. A Sarlós a sarló miatt ide látszik tartozni.</t>
        </is>
      </c>
    </row>
    <row r="125" ht="27.6" customHeight="1">
      <c r="A125" s="7" t="inlineStr">
        <is>
          <t>rsz-031</t>
        </is>
      </c>
      <c r="B125" s="12" t="inlineStr">
        <is>
          <t>2026-10-23</t>
        </is>
      </c>
      <c r="C125" s="7" t="n">
        <v>4</v>
      </c>
      <c r="D125" s="8" t="inlineStr">
        <is>
          <t>___fecske</t>
        </is>
      </c>
      <c r="E125" s="8" t="inlineStr">
        <is>
          <t>Füstifecske, molnárfecske, vörhenyes fecske, sarlósfecske</t>
        </is>
      </c>
      <c r="F125" s="7" t="inlineStr">
        <is>
          <t>Füsti</t>
        </is>
      </c>
      <c r="G125" s="7" t="inlineStr">
        <is>
          <t>Molnár</t>
        </is>
      </c>
      <c r="H125" s="7" t="inlineStr">
        <is>
          <t>Vörhenyes</t>
        </is>
      </c>
      <c r="I125" s="7" t="inlineStr">
        <is>
          <t>Sarlós</t>
        </is>
      </c>
      <c r="J125" s="7" t="n"/>
      <c r="K125" s="8" t="inlineStr">
        <is>
          <t>Sarlós a sarló miatt szerszámnak látszik, de nem az. Egyik szó sem illik valóban más csoportba.</t>
        </is>
      </c>
    </row>
    <row r="126">
      <c r="A126" s="7" t="inlineStr">
        <is>
          <t>rsz-032</t>
        </is>
      </c>
      <c r="B126" s="12" t="inlineStr">
        <is>
          <t>2026-10-24</t>
        </is>
      </c>
      <c r="C126" s="7" t="n">
        <v>1</v>
      </c>
      <c r="D126" s="8" t="inlineStr">
        <is>
          <t>Tüzelőanyagok</t>
        </is>
      </c>
      <c r="E126" s="8" t="n"/>
      <c r="F126" s="7" t="inlineStr">
        <is>
          <t>Fa</t>
        </is>
      </c>
      <c r="G126" s="7" t="inlineStr">
        <is>
          <t>Koksz</t>
        </is>
      </c>
      <c r="H126" s="7" t="inlineStr">
        <is>
          <t>Brikett</t>
        </is>
      </c>
      <c r="I126" s="7" t="inlineStr">
        <is>
          <t>Pellet</t>
        </is>
      </c>
      <c r="J126" s="7" t="n"/>
      <c r="K126" s="8" t="inlineStr">
        <is>
          <t>Belépő csoport. Koksz = szlengben kokain is.</t>
        </is>
      </c>
    </row>
    <row r="127" ht="27.6" customHeight="1">
      <c r="A127" s="7" t="inlineStr">
        <is>
          <t>rsz-032</t>
        </is>
      </c>
      <c r="B127" s="12" t="inlineStr">
        <is>
          <t>2026-10-24</t>
        </is>
      </c>
      <c r="C127" s="7" t="n">
        <v>2</v>
      </c>
      <c r="D127" s="8" t="inlineStr">
        <is>
          <t>Az ujjak nevei</t>
        </is>
      </c>
      <c r="E127" s="8" t="n"/>
      <c r="F127" s="7" t="inlineStr">
        <is>
          <t>Hüvelyk</t>
        </is>
      </c>
      <c r="G127" s="7" t="inlineStr">
        <is>
          <t>Mutató</t>
        </is>
      </c>
      <c r="H127" s="7" t="inlineStr">
        <is>
          <t>Gyűrűs</t>
        </is>
      </c>
      <c r="I127" s="7" t="inlineStr">
        <is>
          <t>Középső</t>
        </is>
      </c>
      <c r="J127" s="7" t="n"/>
      <c r="K127" s="8" t="inlineStr">
        <is>
          <t>Gyűrűs és Középső melléknévnek látszik, Hüvelyk mértékegységnek - de az nem űrmérték. Valódi átfedés nincs.</t>
        </is>
      </c>
    </row>
    <row r="128" ht="27.6" customHeight="1">
      <c r="A128" s="7" t="inlineStr">
        <is>
          <t>rsz-032</t>
        </is>
      </c>
      <c r="B128" s="12" t="inlineStr">
        <is>
          <t>2026-10-24</t>
        </is>
      </c>
      <c r="C128" s="7" t="n">
        <v>3</v>
      </c>
      <c r="D128" s="8" t="inlineStr">
        <is>
          <t>Űrmértékek</t>
        </is>
      </c>
      <c r="E128" s="8" t="inlineStr">
        <is>
          <t>1 pint ≈ 0,57 liter</t>
        </is>
      </c>
      <c r="F128" s="7" t="inlineStr">
        <is>
          <t>Gallon</t>
        </is>
      </c>
      <c r="G128" s="7" t="inlineStr">
        <is>
          <t>Pint</t>
        </is>
      </c>
      <c r="H128" s="7" t="inlineStr">
        <is>
          <t>Liter</t>
        </is>
      </c>
      <c r="I128" s="7" t="inlineStr">
        <is>
          <t>Hordó</t>
        </is>
      </c>
      <c r="J128" s="7" t="n"/>
      <c r="K128" s="8" t="inlineStr">
        <is>
          <t>A Mérföld mértékegység, de nem űrmérték - csak látszatcsali.</t>
        </is>
      </c>
    </row>
    <row r="129" ht="27.6" customHeight="1">
      <c r="A129" s="7" t="inlineStr">
        <is>
          <t>rsz-032</t>
        </is>
      </c>
      <c r="B129" s="12" t="inlineStr">
        <is>
          <t>2026-10-24</t>
        </is>
      </c>
      <c r="C129" s="7" t="n">
        <v>4</v>
      </c>
      <c r="D129" s="8" t="inlineStr">
        <is>
          <t>___KŐ</t>
        </is>
      </c>
      <c r="E129" s="8" t="inlineStr">
        <is>
          <t>Sarokkő, mérföldkő, fogkő, vesekő</t>
        </is>
      </c>
      <c r="F129" s="7" t="inlineStr">
        <is>
          <t>Sarok</t>
        </is>
      </c>
      <c r="G129" s="7" t="inlineStr">
        <is>
          <t>Mérföld</t>
        </is>
      </c>
      <c r="H129" s="7" t="inlineStr">
        <is>
          <t>Fog</t>
        </is>
      </c>
      <c r="I129" s="7" t="inlineStr">
        <is>
          <t>Vese</t>
        </is>
      </c>
      <c r="J129" s="7" t="n"/>
      <c r="K129" s="8" t="inlineStr">
        <is>
          <t>Mérföld mértékegységnek látszik, de nem űrmérték. Egyik szó sem illik valóban más csoportba.</t>
        </is>
      </c>
    </row>
    <row r="130">
      <c r="A130" s="7" t="inlineStr">
        <is>
          <t>rsz-033</t>
        </is>
      </c>
      <c r="B130" s="14" t="n">
        <v>46320</v>
      </c>
      <c r="C130" s="7" t="n">
        <v>1</v>
      </c>
      <c r="D130" s="8" t="inlineStr">
        <is>
          <t>Katonai rangok</t>
        </is>
      </c>
      <c r="E130" s="8" t="n"/>
      <c r="F130" s="7" t="inlineStr">
        <is>
          <t>Tizedes</t>
        </is>
      </c>
      <c r="G130" s="7" t="inlineStr">
        <is>
          <t>Őrmester</t>
        </is>
      </c>
      <c r="H130" s="7" t="inlineStr">
        <is>
          <t>Hadnagy</t>
        </is>
      </c>
      <c r="I130" s="7" t="inlineStr">
        <is>
          <t>Zászlós</t>
        </is>
      </c>
      <c r="J130" s="7" t="n"/>
      <c r="K130" s="8" t="inlineStr">
        <is>
          <t>Belépő csoport. A Tizedes tizedes tört is, a Zászlós melléknévnek hat.</t>
        </is>
      </c>
    </row>
    <row r="131">
      <c r="A131" s="7" t="inlineStr">
        <is>
          <t>rsz-033</t>
        </is>
      </c>
      <c r="B131" s="14" t="n">
        <v>46320</v>
      </c>
      <c r="C131" s="7" t="n">
        <v>2</v>
      </c>
      <c r="D131" s="8" t="inlineStr">
        <is>
          <t>Bányászati fogalmak</t>
        </is>
      </c>
      <c r="E131" s="8" t="inlineStr">
        <is>
          <t>A csille a bányában használt kisvasúti kocsi</t>
        </is>
      </c>
      <c r="F131" s="7" t="inlineStr">
        <is>
          <t>Tárna</t>
        </is>
      </c>
      <c r="G131" s="7" t="inlineStr">
        <is>
          <t>Vágat</t>
        </is>
      </c>
      <c r="H131" s="7" t="inlineStr">
        <is>
          <t>Csille</t>
        </is>
      </c>
      <c r="I131" s="7" t="inlineStr">
        <is>
          <t>Fejtés</t>
        </is>
      </c>
      <c r="J131" s="7" t="n"/>
      <c r="K131" s="8" t="inlineStr">
        <is>
          <t>A Fejtés rejtvényfejtés is, a Vágat a vág igére hajaz. A 3. csoporttal közös a föld alatti közeg - ez a csapda.</t>
        </is>
      </c>
    </row>
    <row r="132">
      <c r="A132" s="7" t="inlineStr">
        <is>
          <t>rsz-033</t>
        </is>
      </c>
      <c r="B132" s="14" t="n">
        <v>46320</v>
      </c>
      <c r="C132" s="7" t="n">
        <v>3</v>
      </c>
      <c r="D132" s="8" t="inlineStr">
        <is>
          <t>Földtörténeti korok</t>
        </is>
      </c>
      <c r="E132" s="8" t="n"/>
      <c r="F132" s="7" t="inlineStr">
        <is>
          <t>Jura</t>
        </is>
      </c>
      <c r="G132" s="7" t="inlineStr">
        <is>
          <t>Kréta</t>
        </is>
      </c>
      <c r="H132" s="7" t="inlineStr">
        <is>
          <t>Triász</t>
        </is>
      </c>
      <c r="I132" s="7" t="inlineStr">
        <is>
          <t>Perm</t>
        </is>
      </c>
      <c r="J132" s="7" t="n"/>
      <c r="K132" s="8" t="inlineStr">
        <is>
          <t>FŐ CSAPDA: Kréta = rajzeszköz és görög sziget, Jura = hegység, Perm = orosz város.</t>
        </is>
      </c>
    </row>
    <row r="133">
      <c r="A133" s="7" t="inlineStr">
        <is>
          <t>rsz-033</t>
        </is>
      </c>
      <c r="B133" s="14" t="n">
        <v>46320</v>
      </c>
      <c r="C133" s="7" t="n">
        <v>4</v>
      </c>
      <c r="D133" s="8" t="inlineStr">
        <is>
          <t>___ + PONT</t>
        </is>
      </c>
      <c r="E133" s="8" t="inlineStr">
        <is>
          <t>fagypont, súlypont, támpont, végpont</t>
        </is>
      </c>
      <c r="F133" s="7" t="inlineStr">
        <is>
          <t>Fagy</t>
        </is>
      </c>
      <c r="G133" s="7" t="inlineStr">
        <is>
          <t>Súly</t>
        </is>
      </c>
      <c r="H133" s="7" t="inlineStr">
        <is>
          <t>Tám</t>
        </is>
      </c>
      <c r="I133" s="7" t="inlineStr">
        <is>
          <t>Vég</t>
        </is>
      </c>
      <c r="J133" s="7" t="n"/>
      <c r="K133" s="8" t="inlineStr">
        <is>
          <t>A Tám önmagában ritka szó, ez segít megfejteni. Ez az egyetlen összetételes csoport a tíz feladványban.</t>
        </is>
      </c>
    </row>
    <row r="134">
      <c r="A134" s="7" t="inlineStr">
        <is>
          <t>rsz-034</t>
        </is>
      </c>
      <c r="B134" s="14" t="n">
        <v>46321</v>
      </c>
      <c r="C134" s="7" t="n">
        <v>1</v>
      </c>
      <c r="D134" s="8" t="inlineStr">
        <is>
          <t>Lombhullató fák</t>
        </is>
      </c>
      <c r="E134" s="8" t="n"/>
      <c r="F134" s="7" t="inlineStr">
        <is>
          <t>Tölgy</t>
        </is>
      </c>
      <c r="G134" s="7" t="inlineStr">
        <is>
          <t>Bükk</t>
        </is>
      </c>
      <c r="H134" s="7" t="inlineStr">
        <is>
          <t>Nyír</t>
        </is>
      </c>
      <c r="I134" s="7" t="inlineStr">
        <is>
          <t>Juhar</t>
        </is>
      </c>
      <c r="J134" s="7" t="n"/>
      <c r="K134" s="8" t="inlineStr">
        <is>
          <t>Belépő csoport. Bükk hegység is, Nyír ige is.</t>
        </is>
      </c>
    </row>
    <row r="135">
      <c r="A135" s="7" t="inlineStr">
        <is>
          <t>rsz-034</t>
        </is>
      </c>
      <c r="B135" s="14" t="n">
        <v>46321</v>
      </c>
      <c r="C135" s="7" t="n">
        <v>2</v>
      </c>
      <c r="D135" s="8" t="inlineStr">
        <is>
          <t>Zenei hangközök</t>
        </is>
      </c>
      <c r="E135" s="8" t="n"/>
      <c r="F135" s="7" t="inlineStr">
        <is>
          <t>Kvint</t>
        </is>
      </c>
      <c r="G135" s="7" t="inlineStr">
        <is>
          <t>Oktáv</t>
        </is>
      </c>
      <c r="H135" s="7" t="inlineStr">
        <is>
          <t>Terc</t>
        </is>
      </c>
      <c r="I135" s="7" t="inlineStr">
        <is>
          <t>Szekund</t>
        </is>
      </c>
      <c r="J135" s="7" t="n"/>
      <c r="K135" s="8" t="inlineStr">
        <is>
          <t>Tudásigényes, de iskolai anyag. A Szekund a szekundál igére emlékeztet.</t>
        </is>
      </c>
    </row>
    <row r="136">
      <c r="A136" s="7" t="inlineStr">
        <is>
          <t>rsz-034</t>
        </is>
      </c>
      <c r="B136" s="14" t="n">
        <v>46321</v>
      </c>
      <c r="C136" s="7" t="n">
        <v>3</v>
      </c>
      <c r="D136" s="8" t="inlineStr">
        <is>
          <t>A gomba részei</t>
        </is>
      </c>
      <c r="E136" s="8" t="n"/>
      <c r="F136" s="7" t="inlineStr">
        <is>
          <t>Kalap</t>
        </is>
      </c>
      <c r="G136" s="7" t="inlineStr">
        <is>
          <t>Tönk</t>
        </is>
      </c>
      <c r="H136" s="7" t="inlineStr">
        <is>
          <t>Lemez</t>
        </is>
      </c>
      <c r="I136" s="7" t="inlineStr">
        <is>
          <t>Spóra</t>
        </is>
      </c>
      <c r="J136" s="7" t="n"/>
      <c r="K136" s="8" t="inlineStr">
        <is>
          <t>CSAPDA: a Lemez hanglemez is, ezért a 2. csoport felé húz. A gombalemez viszont valódi gombarész.</t>
        </is>
      </c>
    </row>
    <row r="137">
      <c r="A137" s="7" t="inlineStr">
        <is>
          <t>rsz-034</t>
        </is>
      </c>
      <c r="B137" s="14" t="n">
        <v>46321</v>
      </c>
      <c r="C137" s="7" t="n">
        <v>4</v>
      </c>
      <c r="D137" s="8" t="inlineStr">
        <is>
          <t>Rendszertani kategóriák</t>
        </is>
      </c>
      <c r="E137" s="8" t="n"/>
      <c r="F137" s="7" t="inlineStr">
        <is>
          <t>Faj</t>
        </is>
      </c>
      <c r="G137" s="7" t="inlineStr">
        <is>
          <t>Nem</t>
        </is>
      </c>
      <c r="H137" s="7" t="inlineStr">
        <is>
          <t>Rend</t>
        </is>
      </c>
      <c r="I137" s="7" t="inlineStr">
        <is>
          <t>Osztály</t>
        </is>
      </c>
      <c r="J137" s="7" t="n"/>
      <c r="K137" s="8" t="inlineStr">
        <is>
          <t>A feladvány lelke: négy teljesen hétköznapi szó. A Nem tagadószó, a Rend és az Osztály iskolai fogalom.</t>
        </is>
      </c>
    </row>
    <row r="138">
      <c r="A138" s="7" t="inlineStr">
        <is>
          <t>rsz-035</t>
        </is>
      </c>
      <c r="B138" s="14" t="n">
        <v>46322</v>
      </c>
      <c r="C138" s="7" t="n">
        <v>1</v>
      </c>
      <c r="D138" s="8" t="inlineStr">
        <is>
          <t>Időjárási jelenségek</t>
        </is>
      </c>
      <c r="E138" s="8" t="n"/>
      <c r="F138" s="7" t="inlineStr">
        <is>
          <t>Zivatar</t>
        </is>
      </c>
      <c r="G138" s="7" t="inlineStr">
        <is>
          <t>Dér</t>
        </is>
      </c>
      <c r="H138" s="7" t="inlineStr">
        <is>
          <t>Jégeső</t>
        </is>
      </c>
      <c r="I138" s="7" t="inlineStr">
        <is>
          <t>Köd</t>
        </is>
      </c>
      <c r="J138" s="7" t="n"/>
      <c r="K138" s="8" t="inlineStr">
        <is>
          <t>Belépő csoport.</t>
        </is>
      </c>
    </row>
    <row r="139">
      <c r="A139" s="7" t="inlineStr">
        <is>
          <t>rsz-035</t>
        </is>
      </c>
      <c r="B139" s="14" t="n">
        <v>46322</v>
      </c>
      <c r="C139" s="7" t="n">
        <v>2</v>
      </c>
      <c r="D139" s="8" t="inlineStr">
        <is>
          <t>Szövetfajták</t>
        </is>
      </c>
      <c r="E139" s="8" t="n"/>
      <c r="F139" s="7" t="inlineStr">
        <is>
          <t>Bársony</t>
        </is>
      </c>
      <c r="G139" s="7" t="inlineStr">
        <is>
          <t>Selyem</t>
        </is>
      </c>
      <c r="H139" s="7" t="inlineStr">
        <is>
          <t>Vászon</t>
        </is>
      </c>
      <c r="I139" s="7" t="inlineStr">
        <is>
          <t>Flanel</t>
        </is>
      </c>
      <c r="J139" s="7" t="n"/>
      <c r="K139" s="8" t="inlineStr">
        <is>
          <t>A Vászon mozivászon is, a Selyem a selymes szóra hajaz.</t>
        </is>
      </c>
    </row>
    <row r="140">
      <c r="A140" s="7" t="inlineStr">
        <is>
          <t>rsz-035</t>
        </is>
      </c>
      <c r="B140" s="14" t="n">
        <v>46322</v>
      </c>
      <c r="C140" s="7" t="n">
        <v>3</v>
      </c>
      <c r="D140" s="8" t="inlineStr">
        <is>
          <t>Magyar Nobel-díjasok</t>
        </is>
      </c>
      <c r="E140" s="8" t="inlineStr">
        <is>
          <t>Gábor Dénes, Wigner Jenő, Oláh György, Kertész Imre</t>
        </is>
      </c>
      <c r="F140" s="7" t="inlineStr">
        <is>
          <t>Gábor</t>
        </is>
      </c>
      <c r="G140" s="7" t="inlineStr">
        <is>
          <t>Wigner</t>
        </is>
      </c>
      <c r="H140" s="7" t="inlineStr">
        <is>
          <t>Oláh</t>
        </is>
      </c>
      <c r="I140" s="7" t="inlineStr">
        <is>
          <t>Kertész</t>
        </is>
      </c>
      <c r="J140" s="7" t="n"/>
      <c r="K140" s="8" t="inlineStr">
        <is>
          <t>A Gábor keresztnév, a Kertész foglalkozás, az Oláh népnév is - egyik sem puszta vezetéknévnek látszik.</t>
        </is>
      </c>
    </row>
    <row r="141">
      <c r="A141" s="7" t="inlineStr">
        <is>
          <t>rsz-035</t>
        </is>
      </c>
      <c r="B141" s="14" t="n">
        <v>46322</v>
      </c>
      <c r="C141" s="7" t="n">
        <v>4</v>
      </c>
      <c r="D141" s="8" t="inlineStr">
        <is>
          <t>Magyar matematikusok</t>
        </is>
      </c>
      <c r="E141" s="8" t="inlineStr">
        <is>
          <t>Erdős Pál, Bolyai János, Neumann János, Riesz Frigyes</t>
        </is>
      </c>
      <c r="F141" s="7" t="inlineStr">
        <is>
          <t>Erdős</t>
        </is>
      </c>
      <c r="G141" s="7" t="inlineStr">
        <is>
          <t>Bolyai</t>
        </is>
      </c>
      <c r="H141" s="7" t="inlineStr">
        <is>
          <t>Neumann</t>
        </is>
      </c>
      <c r="I141" s="7" t="inlineStr">
        <is>
          <t>Riesz</t>
        </is>
      </c>
      <c r="J141" s="7" t="n"/>
      <c r="K141" s="8" t="inlineStr">
        <is>
          <t>FŐ CSAPDA: nyolc magyar tudós egy táblán. A szétválasztás egyetlen ténye: matematikai Nobel-díj nem létezik, így e négy közül egyik sem kaphatott. Erdős melléknév is.</t>
        </is>
      </c>
    </row>
    <row r="142">
      <c r="A142" s="7" t="inlineStr">
        <is>
          <t>rsz-036</t>
        </is>
      </c>
      <c r="B142" s="14" t="n">
        <v>46323</v>
      </c>
      <c r="C142" s="7" t="n">
        <v>1</v>
      </c>
      <c r="D142" s="8" t="inlineStr">
        <is>
          <t>Ami a patikában található</t>
        </is>
      </c>
      <c r="E142" s="8" t="n"/>
      <c r="F142" s="7" t="inlineStr">
        <is>
          <t>Recept</t>
        </is>
      </c>
      <c r="G142" s="7" t="inlineStr">
        <is>
          <t>Kenőcs</t>
        </is>
      </c>
      <c r="H142" s="7" t="inlineStr">
        <is>
          <t>Tabletta</t>
        </is>
      </c>
      <c r="I142" s="7" t="inlineStr">
        <is>
          <t>Kúp</t>
        </is>
      </c>
      <c r="J142" s="7" t="n"/>
      <c r="K142" s="8" t="inlineStr">
        <is>
          <t>Belépő csoport. Recept étel is, Kúp mértani test is.</t>
        </is>
      </c>
    </row>
    <row r="143">
      <c r="A143" s="7" t="inlineStr">
        <is>
          <t>rsz-036</t>
        </is>
      </c>
      <c r="B143" s="14" t="n">
        <v>46323</v>
      </c>
      <c r="C143" s="7" t="n">
        <v>2</v>
      </c>
      <c r="D143" s="8" t="inlineStr">
        <is>
          <t>Az agy részei</t>
        </is>
      </c>
      <c r="E143" s="8" t="inlineStr">
        <is>
          <t>A híd az agytörzs egyik szakasza</t>
        </is>
      </c>
      <c r="F143" s="7" t="inlineStr">
        <is>
          <t>Kisagy</t>
        </is>
      </c>
      <c r="G143" s="7" t="inlineStr">
        <is>
          <t>Nyúltvelő</t>
        </is>
      </c>
      <c r="H143" s="7" t="inlineStr">
        <is>
          <t>Híd</t>
        </is>
      </c>
      <c r="I143" s="7" t="inlineStr">
        <is>
          <t>Talamusz</t>
        </is>
      </c>
      <c r="J143" s="7" t="n"/>
      <c r="K143" s="8" t="inlineStr">
        <is>
          <t>Csak egy szó tartalmazza az agy szót, így nem lehet ránézésre megfejteni. A Híd budapesti híd is.</t>
        </is>
      </c>
    </row>
    <row r="144">
      <c r="A144" s="7" t="inlineStr">
        <is>
          <t>rsz-036</t>
        </is>
      </c>
      <c r="B144" s="14" t="n">
        <v>46323</v>
      </c>
      <c r="C144" s="7" t="n">
        <v>3</v>
      </c>
      <c r="D144" s="8" t="inlineStr">
        <is>
          <t>Vitaminhiány okozta betegségek</t>
        </is>
      </c>
      <c r="E144" s="8" t="n"/>
      <c r="F144" s="7" t="inlineStr">
        <is>
          <t>Skorbut</t>
        </is>
      </c>
      <c r="G144" s="7" t="inlineStr">
        <is>
          <t>Angolkór</t>
        </is>
      </c>
      <c r="H144" s="7" t="inlineStr">
        <is>
          <t>Beriberi</t>
        </is>
      </c>
      <c r="I144" s="7" t="inlineStr">
        <is>
          <t>Pellagra</t>
        </is>
      </c>
      <c r="J144" s="7" t="n"/>
      <c r="K144" s="8" t="inlineStr">
        <is>
          <t>Tudásigényes. Az 1. csoporttal közös az orvosi közeg, de egyik betegség sem patikaszer.</t>
        </is>
      </c>
    </row>
    <row r="145">
      <c r="A145" s="7" t="inlineStr">
        <is>
          <t>rsz-036</t>
        </is>
      </c>
      <c r="B145" s="14" t="n">
        <v>46323</v>
      </c>
      <c r="C145" s="7" t="n">
        <v>4</v>
      </c>
      <c r="D145" s="8" t="inlineStr">
        <is>
          <t>Régi pénzérmék</t>
        </is>
      </c>
      <c r="E145" s="8" t="n"/>
      <c r="F145" s="7" t="inlineStr">
        <is>
          <t>Fillér</t>
        </is>
      </c>
      <c r="G145" s="7" t="inlineStr">
        <is>
          <t>Garas</t>
        </is>
      </c>
      <c r="H145" s="7" t="inlineStr">
        <is>
          <t>Peták</t>
        </is>
      </c>
      <c r="I145" s="7" t="inlineStr">
        <is>
          <t>Dukát</t>
        </is>
      </c>
      <c r="J145" s="7" t="n"/>
      <c r="K145" s="8" t="inlineStr">
        <is>
          <t>Tudásigényes. A Garas a garasoskodik igéből ismerős, a Fillér ma is él a szólásokban.</t>
        </is>
      </c>
    </row>
    <row r="146">
      <c r="A146" s="7" t="inlineStr">
        <is>
          <t>rsz-037</t>
        </is>
      </c>
      <c r="B146" s="14" t="n">
        <v>46324</v>
      </c>
      <c r="C146" s="7" t="n">
        <v>1</v>
      </c>
      <c r="D146" s="8" t="inlineStr">
        <is>
          <t>Írásjelek</t>
        </is>
      </c>
      <c r="E146" s="8" t="n"/>
      <c r="F146" s="7" t="inlineStr">
        <is>
          <t>Vessző</t>
        </is>
      </c>
      <c r="G146" s="7" t="inlineStr">
        <is>
          <t>Pont</t>
        </is>
      </c>
      <c r="H146" s="7" t="inlineStr">
        <is>
          <t>Zárójel</t>
        </is>
      </c>
      <c r="I146" s="7" t="inlineStr">
        <is>
          <t>Aposztróf</t>
        </is>
      </c>
      <c r="J146" s="7" t="n"/>
      <c r="K146" s="8" t="inlineStr">
        <is>
          <t>Belépő csoport. Vessző fenyítőeszköz is.</t>
        </is>
      </c>
    </row>
    <row r="147">
      <c r="A147" s="7" t="inlineStr">
        <is>
          <t>rsz-037</t>
        </is>
      </c>
      <c r="B147" s="14" t="n">
        <v>46324</v>
      </c>
      <c r="C147" s="7" t="n">
        <v>2</v>
      </c>
      <c r="D147" s="8" t="inlineStr">
        <is>
          <t>Uralkodóházak</t>
        </is>
      </c>
      <c r="E147" s="8" t="n"/>
      <c r="F147" s="7" t="inlineStr">
        <is>
          <t>Árpád</t>
        </is>
      </c>
      <c r="G147" s="7" t="inlineStr">
        <is>
          <t>Anjou</t>
        </is>
      </c>
      <c r="H147" s="7" t="inlineStr">
        <is>
          <t>Habsburg</t>
        </is>
      </c>
      <c r="I147" s="7" t="inlineStr">
        <is>
          <t>Jagelló</t>
        </is>
      </c>
      <c r="J147" s="7" t="n"/>
      <c r="K147" s="8" t="inlineStr">
        <is>
          <t>Nem névlista: a dinasztiát kell felismerni. Árpád keresztnév is.</t>
        </is>
      </c>
    </row>
    <row r="148">
      <c r="A148" s="7" t="inlineStr">
        <is>
          <t>rsz-037</t>
        </is>
      </c>
      <c r="B148" s="14" t="n">
        <v>46324</v>
      </c>
      <c r="C148" s="7" t="n">
        <v>3</v>
      </c>
      <c r="D148" s="8" t="inlineStr">
        <is>
          <t>Spanyolország nyelvei</t>
        </is>
      </c>
      <c r="E148" s="8" t="inlineStr">
        <is>
          <t>A galego Galicia, az asztúr Asztúria nyelve</t>
        </is>
      </c>
      <c r="F148" s="7" t="inlineStr">
        <is>
          <t>Baszk</t>
        </is>
      </c>
      <c r="G148" s="7" t="inlineStr">
        <is>
          <t>Katalán</t>
        </is>
      </c>
      <c r="H148" s="7" t="inlineStr">
        <is>
          <t>Galego</t>
        </is>
      </c>
      <c r="I148" s="7" t="inlineStr">
        <is>
          <t>Asztúr</t>
        </is>
      </c>
      <c r="J148" s="7" t="n"/>
      <c r="K148" s="8" t="inlineStr">
        <is>
          <t>Tudásigényes. A Galego Galicia, az Asztúr Asztúria hivatalosan elismert nyelve.</t>
        </is>
      </c>
    </row>
    <row r="149">
      <c r="A149" s="7" t="inlineStr">
        <is>
          <t>rsz-037</t>
        </is>
      </c>
      <c r="B149" s="14" t="n">
        <v>46324</v>
      </c>
      <c r="C149" s="7" t="n">
        <v>4</v>
      </c>
      <c r="D149" s="8" t="inlineStr">
        <is>
          <t>Nyelvújítási szavak</t>
        </is>
      </c>
      <c r="E149" s="8" t="n"/>
      <c r="F149" s="7" t="inlineStr">
        <is>
          <t>Zongora</t>
        </is>
      </c>
      <c r="G149" s="7" t="inlineStr">
        <is>
          <t>Rovar</t>
        </is>
      </c>
      <c r="H149" s="7" t="inlineStr">
        <is>
          <t>Évszak</t>
        </is>
      </c>
      <c r="I149" s="7" t="inlineStr">
        <is>
          <t>Mérnök</t>
        </is>
      </c>
      <c r="J149" s="7" t="n"/>
      <c r="K149" s="8" t="inlineStr">
        <is>
          <t>FŐ CSAPDA: négy teljesen hétköznapi szó, amikről nem gondolná az ember, hogy mesterségesen gyártották őket.</t>
        </is>
      </c>
    </row>
    <row r="150">
      <c r="A150" s="7" t="inlineStr">
        <is>
          <t>rsz-038</t>
        </is>
      </c>
      <c r="B150" s="14" t="n">
        <v>46325</v>
      </c>
      <c r="C150" s="7" t="n">
        <v>1</v>
      </c>
      <c r="D150" s="8" t="inlineStr">
        <is>
          <t>Magyar tavak</t>
        </is>
      </c>
      <c r="E150" s="8" t="inlineStr">
        <is>
          <t>Velencei-tó, Hévízi-tó, Fertő tó</t>
        </is>
      </c>
      <c r="F150" s="7" t="inlineStr">
        <is>
          <t>Balaton</t>
        </is>
      </c>
      <c r="G150" s="7" t="inlineStr">
        <is>
          <t>Velencei</t>
        </is>
      </c>
      <c r="H150" s="7" t="inlineStr">
        <is>
          <t>Fertő</t>
        </is>
      </c>
      <c r="I150" s="7" t="inlineStr">
        <is>
          <t>Hévíz</t>
        </is>
      </c>
      <c r="J150" s="7" t="n"/>
      <c r="K150" s="8" t="inlineStr">
        <is>
          <t>Belépő csoport. Fertő = mocsár, bűnös hely is.</t>
        </is>
      </c>
    </row>
    <row r="151">
      <c r="A151" s="7" t="inlineStr">
        <is>
          <t>rsz-038</t>
        </is>
      </c>
      <c r="B151" s="14" t="n">
        <v>46325</v>
      </c>
      <c r="C151" s="7" t="n">
        <v>2</v>
      </c>
      <c r="D151" s="8" t="inlineStr">
        <is>
          <t>Halmazállapotok</t>
        </is>
      </c>
      <c r="E151" s="8" t="n"/>
      <c r="F151" s="7" t="inlineStr">
        <is>
          <t>Szilárd</t>
        </is>
      </c>
      <c r="G151" s="7" t="inlineStr">
        <is>
          <t>Folyékony</t>
        </is>
      </c>
      <c r="H151" s="7" t="inlineStr">
        <is>
          <t>Légnemű</t>
        </is>
      </c>
      <c r="I151" s="7" t="inlineStr">
        <is>
          <t>Plazma</t>
        </is>
      </c>
      <c r="J151" s="7" t="n"/>
      <c r="K151" s="8" t="inlineStr">
        <is>
          <t>A Plazma vérplazma is, a Szilárd keresztnév is.</t>
        </is>
      </c>
    </row>
    <row r="152">
      <c r="A152" s="7" t="inlineStr">
        <is>
          <t>rsz-038</t>
        </is>
      </c>
      <c r="B152" s="14" t="n">
        <v>46325</v>
      </c>
      <c r="C152" s="7" t="n">
        <v>3</v>
      </c>
      <c r="D152" s="8" t="inlineStr">
        <is>
          <t>Szőlőfajták</t>
        </is>
      </c>
      <c r="E152" s="8" t="n"/>
      <c r="F152" s="7" t="inlineStr">
        <is>
          <t>Kadarka</t>
        </is>
      </c>
      <c r="G152" s="7" t="inlineStr">
        <is>
          <t>Furmint</t>
        </is>
      </c>
      <c r="H152" s="7" t="inlineStr">
        <is>
          <t>Juhfark</t>
        </is>
      </c>
      <c r="I152" s="7" t="inlineStr">
        <is>
          <t>Ezerjó</t>
        </is>
      </c>
      <c r="J152" s="7" t="n"/>
      <c r="K152" s="8" t="inlineStr">
        <is>
          <t>Tudásigényes. A Juhfark állatot, az Ezerjó dicséretet sejtet - ez a két szó viszi félre a játékost.</t>
        </is>
      </c>
    </row>
    <row r="153">
      <c r="A153" s="7" t="inlineStr">
        <is>
          <t>rsz-038</t>
        </is>
      </c>
      <c r="B153" s="14" t="n">
        <v>46325</v>
      </c>
      <c r="C153" s="7" t="n">
        <v>4</v>
      </c>
      <c r="D153" s="8" t="inlineStr">
        <is>
          <t>Magyar filmrendezők</t>
        </is>
      </c>
      <c r="E153" s="8" t="inlineStr">
        <is>
          <t>Szabó István, Jancsó Miklós, Tarr Béla, Enyedi Ildikó</t>
        </is>
      </c>
      <c r="F153" s="7" t="inlineStr">
        <is>
          <t>Szabó</t>
        </is>
      </c>
      <c r="G153" s="7" t="inlineStr">
        <is>
          <t>Jancsó</t>
        </is>
      </c>
      <c r="H153" s="7" t="inlineStr">
        <is>
          <t>Tarr</t>
        </is>
      </c>
      <c r="I153" s="7" t="inlineStr">
        <is>
          <t>Enyedi</t>
        </is>
      </c>
      <c r="J153" s="7" t="n"/>
      <c r="K153" s="8" t="inlineStr">
        <is>
          <t>A Szabó foglalkozás is, a Tarr a tar szóra hajaz.</t>
        </is>
      </c>
    </row>
    <row r="154">
      <c r="A154" s="7" t="inlineStr">
        <is>
          <t>rsz-039</t>
        </is>
      </c>
      <c r="B154" s="14" t="n">
        <v>46326</v>
      </c>
      <c r="C154" s="7" t="n">
        <v>1</v>
      </c>
      <c r="D154" s="8" t="inlineStr">
        <is>
          <t>Magyar népmesei alakok</t>
        </is>
      </c>
      <c r="E154" s="8" t="n"/>
      <c r="F154" s="7" t="inlineStr">
        <is>
          <t>Táltos</t>
        </is>
      </c>
      <c r="G154" s="7" t="inlineStr">
        <is>
          <t>Tündér</t>
        </is>
      </c>
      <c r="H154" s="7" t="inlineStr">
        <is>
          <t>Óriás</t>
        </is>
      </c>
      <c r="I154" s="7" t="inlineStr">
        <is>
          <t>Manó</t>
        </is>
      </c>
      <c r="J154" s="7" t="n"/>
      <c r="K154" s="8" t="inlineStr">
        <is>
          <t>Belépő csoport. Sárkány szándékosan kimaradt: az csillagkép is.</t>
        </is>
      </c>
    </row>
    <row r="155">
      <c r="A155" s="7" t="inlineStr">
        <is>
          <t>rsz-039</t>
        </is>
      </c>
      <c r="B155" s="14" t="n">
        <v>46326</v>
      </c>
      <c r="C155" s="7" t="n">
        <v>2</v>
      </c>
      <c r="D155" s="8" t="inlineStr">
        <is>
          <t>Középkori fegyverek</t>
        </is>
      </c>
      <c r="E155" s="8" t="n"/>
      <c r="F155" s="7" t="inlineStr">
        <is>
          <t>Buzogány</t>
        </is>
      </c>
      <c r="G155" s="7" t="inlineStr">
        <is>
          <t>Szablya</t>
        </is>
      </c>
      <c r="H155" s="7" t="inlineStr">
        <is>
          <t>Alabárd</t>
        </is>
      </c>
      <c r="I155" s="7" t="inlineStr">
        <is>
          <t>Íj</t>
        </is>
      </c>
      <c r="J155" s="7" t="n"/>
      <c r="K155" s="8" t="inlineStr">
        <is>
          <t>A Buzogány növény is (buzogányos káka). A 4. csoporttal közös a honfoglalás-kori hangulat.</t>
        </is>
      </c>
    </row>
    <row r="156">
      <c r="A156" s="7" t="inlineStr">
        <is>
          <t>rsz-039</t>
        </is>
      </c>
      <c r="B156" s="14" t="n">
        <v>46326</v>
      </c>
      <c r="C156" s="7" t="n">
        <v>3</v>
      </c>
      <c r="D156" s="8" t="inlineStr">
        <is>
          <t>Magyar világörökségi helyszínek</t>
        </is>
      </c>
      <c r="E156" s="8" t="n"/>
      <c r="F156" s="7" t="inlineStr">
        <is>
          <t>Hollókő</t>
        </is>
      </c>
      <c r="G156" s="7" t="inlineStr">
        <is>
          <t>Aggtelek</t>
        </is>
      </c>
      <c r="H156" s="7" t="inlineStr">
        <is>
          <t>Tokaj</t>
        </is>
      </c>
      <c r="I156" s="7" t="inlineStr">
        <is>
          <t>Hortobágy</t>
        </is>
      </c>
      <c r="J156" s="7" t="n"/>
      <c r="K156" s="8" t="inlineStr">
        <is>
          <t>Tudásigényes. Tokaj borvidék is, Hortobágy tájegység is - éppen ezért világörökség mindkettő.</t>
        </is>
      </c>
    </row>
    <row r="157">
      <c r="A157" s="7" t="inlineStr">
        <is>
          <t>rsz-039</t>
        </is>
      </c>
      <c r="B157" s="14" t="n">
        <v>46326</v>
      </c>
      <c r="C157" s="7" t="n">
        <v>4</v>
      </c>
      <c r="D157" s="8" t="inlineStr">
        <is>
          <t>Honfoglaló törzsek</t>
        </is>
      </c>
      <c r="E157" s="8" t="n"/>
      <c r="F157" s="7" t="inlineStr">
        <is>
          <t>Nyék</t>
        </is>
      </c>
      <c r="G157" s="7" t="inlineStr">
        <is>
          <t>Megyer</t>
        </is>
      </c>
      <c r="H157" s="7" t="inlineStr">
        <is>
          <t>Tarján</t>
        </is>
      </c>
      <c r="I157" s="7" t="inlineStr">
        <is>
          <t>Jenő</t>
        </is>
      </c>
      <c r="J157" s="7" t="n"/>
      <c r="K157" s="8" t="inlineStr">
        <is>
          <t>FŐ CSAPDA: a Jenő keresztnév, a Tarján és a Megyer pedig településnév - ezért a 3. csoport felé húznak.</t>
        </is>
      </c>
    </row>
    <row r="158">
      <c r="A158" s="7" t="inlineStr">
        <is>
          <t>rsz-040</t>
        </is>
      </c>
      <c r="B158" s="14" t="n">
        <v>46327</v>
      </c>
      <c r="C158" s="7" t="n">
        <v>1</v>
      </c>
      <c r="D158" s="8" t="inlineStr">
        <is>
          <t>Pénzügyi okmányok</t>
        </is>
      </c>
      <c r="E158" s="8" t="n"/>
      <c r="F158" s="7" t="inlineStr">
        <is>
          <t>Csekk</t>
        </is>
      </c>
      <c r="G158" s="7" t="inlineStr">
        <is>
          <t>Váltó</t>
        </is>
      </c>
      <c r="H158" s="7" t="inlineStr">
        <is>
          <t>Kötvény</t>
        </is>
      </c>
      <c r="I158" s="7" t="inlineStr">
        <is>
          <t>Nyugta</t>
        </is>
      </c>
      <c r="J158" s="7" t="n"/>
      <c r="K158" s="8" t="inlineStr">
        <is>
          <t>Belépő csoport. A Váltó vasúti váltó és váltófutás is, a Nyugta a nyugalomra hajaz.</t>
        </is>
      </c>
    </row>
    <row r="159">
      <c r="A159" s="7" t="inlineStr">
        <is>
          <t>rsz-040</t>
        </is>
      </c>
      <c r="B159" s="14" t="n">
        <v>46327</v>
      </c>
      <c r="C159" s="7" t="n">
        <v>2</v>
      </c>
      <c r="D159" s="8" t="inlineStr">
        <is>
          <t>Közterhek</t>
        </is>
      </c>
      <c r="E159" s="8" t="inlineStr">
        <is>
          <t>szja = személyi jövedelemadó</t>
        </is>
      </c>
      <c r="F159" s="7" t="inlineStr">
        <is>
          <t>Áfa</t>
        </is>
      </c>
      <c r="G159" s="7" t="inlineStr">
        <is>
          <t>Szja</t>
        </is>
      </c>
      <c r="H159" s="7" t="inlineStr">
        <is>
          <t>Illeték</t>
        </is>
      </c>
      <c r="I159" s="7" t="inlineStr">
        <is>
          <t>Vám</t>
        </is>
      </c>
      <c r="J159" s="7" t="n"/>
      <c r="K159" s="8" t="inlineStr">
        <is>
          <t>Mind a négy valódi magyar közteher. Az 1. csoporttal közös a pénzügyi közeg.</t>
        </is>
      </c>
    </row>
    <row r="160">
      <c r="A160" s="7" t="inlineStr">
        <is>
          <t>rsz-040</t>
        </is>
      </c>
      <c r="B160" s="14" t="n">
        <v>46327</v>
      </c>
      <c r="C160" s="7" t="n">
        <v>3</v>
      </c>
      <c r="D160" s="8" t="inlineStr">
        <is>
          <t>Mértani testek</t>
        </is>
      </c>
      <c r="E160" s="8" t="n"/>
      <c r="F160" s="7" t="inlineStr">
        <is>
          <t>Kúp</t>
        </is>
      </c>
      <c r="G160" s="7" t="inlineStr">
        <is>
          <t>Gömb</t>
        </is>
      </c>
      <c r="H160" s="7" t="inlineStr">
        <is>
          <t>Henger</t>
        </is>
      </c>
      <c r="I160" s="7" t="inlineStr">
        <is>
          <t>Hasáb</t>
        </is>
      </c>
      <c r="J160" s="7" t="n"/>
      <c r="K160" s="8" t="inlineStr">
        <is>
          <t>A Henger motorrész is, a Hasáb fahasáb is.</t>
        </is>
      </c>
    </row>
    <row r="161">
      <c r="A161" s="7" t="inlineStr">
        <is>
          <t>rsz-040</t>
        </is>
      </c>
      <c r="B161" s="14" t="n">
        <v>46327</v>
      </c>
      <c r="C161" s="7" t="n">
        <v>4</v>
      </c>
      <c r="D161" s="8" t="inlineStr">
        <is>
          <t>Statisztikai fogalmak</t>
        </is>
      </c>
      <c r="E161" s="8" t="inlineStr">
        <is>
          <t>A terjedelem a legnagyobb és a legkisebb érték különbsége</t>
        </is>
      </c>
      <c r="F161" s="7" t="inlineStr">
        <is>
          <t>Terjedelem</t>
        </is>
      </c>
      <c r="G161" s="7" t="inlineStr">
        <is>
          <t>Szórás</t>
        </is>
      </c>
      <c r="H161" s="7" t="inlineStr">
        <is>
          <t>Módusz</t>
        </is>
      </c>
      <c r="I161" s="7" t="inlineStr">
        <is>
          <t>Medián</t>
        </is>
      </c>
      <c r="J161" s="7" t="n"/>
      <c r="K161" s="8" t="inlineStr">
        <is>
          <t>FIGYELEM: a Terjedelem 10 karakter, kétsoros doboz kell hozzá. CSAPDA: a 3. csoporttal együtt matekórát idéz, a Terjedelem geometriai fogalomnak hat.</t>
        </is>
      </c>
    </row>
    <row r="162">
      <c r="A162" s="7" t="inlineStr">
        <is>
          <t>rsz-041</t>
        </is>
      </c>
      <c r="B162" s="14" t="n">
        <v>46328</v>
      </c>
      <c r="C162" s="7" t="n">
        <v>1</v>
      </c>
      <c r="D162" s="8" t="inlineStr">
        <is>
          <t>Építészeti elemek</t>
        </is>
      </c>
      <c r="E162" s="8" t="n"/>
      <c r="F162" s="7" t="inlineStr">
        <is>
          <t>Oromzat</t>
        </is>
      </c>
      <c r="G162" s="7" t="inlineStr">
        <is>
          <t>Pillér</t>
        </is>
      </c>
      <c r="H162" s="7" t="inlineStr">
        <is>
          <t>Boltív</t>
        </is>
      </c>
      <c r="I162" s="7" t="inlineStr">
        <is>
          <t>Zsalu</t>
        </is>
      </c>
      <c r="J162" s="7" t="n"/>
      <c r="K162" s="8" t="inlineStr">
        <is>
          <t>Belépő csoport, de nem triviális. A Pillér átvitt értelemben támaszt is jelent.</t>
        </is>
      </c>
    </row>
    <row r="163">
      <c r="A163" s="7" t="inlineStr">
        <is>
          <t>rsz-041</t>
        </is>
      </c>
      <c r="B163" s="14" t="n">
        <v>46328</v>
      </c>
      <c r="C163" s="7" t="n">
        <v>2</v>
      </c>
      <c r="D163" s="8" t="inlineStr">
        <is>
          <t>Szófajok</t>
        </is>
      </c>
      <c r="E163" s="8" t="n"/>
      <c r="F163" s="7" t="inlineStr">
        <is>
          <t>Főnév</t>
        </is>
      </c>
      <c r="G163" s="7" t="inlineStr">
        <is>
          <t>Ige</t>
        </is>
      </c>
      <c r="H163" s="7" t="inlineStr">
        <is>
          <t>Névmás</t>
        </is>
      </c>
      <c r="I163" s="7" t="inlineStr">
        <is>
          <t>Kötőszó</t>
        </is>
      </c>
      <c r="J163" s="7" t="n"/>
      <c r="K163" s="8" t="inlineStr">
        <is>
          <t>Tiszta nyelvtan.</t>
        </is>
      </c>
    </row>
    <row r="164">
      <c r="A164" s="7" t="inlineStr">
        <is>
          <t>rsz-041</t>
        </is>
      </c>
      <c r="B164" s="14" t="n">
        <v>46328</v>
      </c>
      <c r="C164" s="7" t="n">
        <v>3</v>
      </c>
      <c r="D164" s="8" t="inlineStr">
        <is>
          <t>Színházi fogalmak</t>
        </is>
      </c>
      <c r="E164" s="8" t="n"/>
      <c r="F164" s="7" t="inlineStr">
        <is>
          <t>Súgó</t>
        </is>
      </c>
      <c r="G164" s="7" t="inlineStr">
        <is>
          <t>Díszlet</t>
        </is>
      </c>
      <c r="H164" s="7" t="inlineStr">
        <is>
          <t>Kulissza</t>
        </is>
      </c>
      <c r="I164" s="7" t="inlineStr">
        <is>
          <t>Felvonás</t>
        </is>
      </c>
      <c r="J164" s="7" t="n"/>
      <c r="K164" s="8" t="inlineStr">
        <is>
          <t>A Súgó a programok segítségére is utal, a Felvonás a felvonóra hajaz.</t>
        </is>
      </c>
    </row>
    <row r="165">
      <c r="A165" s="7" t="inlineStr">
        <is>
          <t>rsz-041</t>
        </is>
      </c>
      <c r="B165" s="14" t="n">
        <v>46328</v>
      </c>
      <c r="C165" s="7" t="n">
        <v>4</v>
      </c>
      <c r="D165" s="8" t="inlineStr">
        <is>
          <t>Irodalmi műfajok</t>
        </is>
      </c>
      <c r="E165" s="8" t="n"/>
      <c r="F165" s="7" t="inlineStr">
        <is>
          <t>Elégia</t>
        </is>
      </c>
      <c r="G165" s="7" t="inlineStr">
        <is>
          <t>Eposz</t>
        </is>
      </c>
      <c r="H165" s="7" t="inlineStr">
        <is>
          <t>Szonett</t>
        </is>
      </c>
      <c r="I165" s="7" t="inlineStr">
        <is>
          <t>Ballada</t>
        </is>
      </c>
      <c r="J165" s="7" t="n"/>
      <c r="K165" s="8" t="inlineStr">
        <is>
          <t>Tudásigényes, és nincs benne tulajdonnév. A 3. csoporttal közös a művészeti közeg: a Ballada színpadi műnek is hathat.</t>
        </is>
      </c>
    </row>
    <row r="166">
      <c r="A166" s="7" t="inlineStr">
        <is>
          <t>rsz-042</t>
        </is>
      </c>
      <c r="B166" s="14" t="n">
        <v>46329</v>
      </c>
      <c r="C166" s="7" t="n">
        <v>1</v>
      </c>
      <c r="D166" s="8" t="inlineStr">
        <is>
          <t>Hegymászó felszerelés</t>
        </is>
      </c>
      <c r="E166" s="8" t="n"/>
      <c r="F166" s="7" t="inlineStr">
        <is>
          <t>Kötél</t>
        </is>
      </c>
      <c r="G166" s="7" t="inlineStr">
        <is>
          <t>Karabiner</t>
        </is>
      </c>
      <c r="H166" s="7" t="inlineStr">
        <is>
          <t>Hágóvas</t>
        </is>
      </c>
      <c r="I166" s="7" t="inlineStr">
        <is>
          <t>Sisak</t>
        </is>
      </c>
      <c r="J166" s="7" t="n"/>
      <c r="K166" s="8" t="inlineStr">
        <is>
          <t>Belépő csoport.</t>
        </is>
      </c>
    </row>
    <row r="167">
      <c r="A167" s="7" t="inlineStr">
        <is>
          <t>rsz-042</t>
        </is>
      </c>
      <c r="B167" s="14" t="n">
        <v>46329</v>
      </c>
      <c r="C167" s="7" t="n">
        <v>2</v>
      </c>
      <c r="D167" s="8" t="inlineStr">
        <is>
          <t>Barlangi képződmények</t>
        </is>
      </c>
      <c r="E167" s="8" t="inlineStr">
        <is>
          <t>A szifon vízzel telt barlangszakasz</t>
        </is>
      </c>
      <c r="F167" s="7" t="inlineStr">
        <is>
          <t>Cseppkő</t>
        </is>
      </c>
      <c r="G167" s="7" t="inlineStr">
        <is>
          <t>Szifon</t>
        </is>
      </c>
      <c r="H167" s="7" t="inlineStr">
        <is>
          <t>Kürtő</t>
        </is>
      </c>
      <c r="I167" s="7" t="inlineStr">
        <is>
          <t>Terem</t>
        </is>
      </c>
      <c r="J167" s="7" t="n"/>
      <c r="K167" s="8" t="inlineStr">
        <is>
          <t>A Terem ige is (terem a gomba), a Szifon szódásüveg is, a Kürtő kémény is. Az 1. csoporttal közös a barlangászat.</t>
        </is>
      </c>
    </row>
    <row r="168">
      <c r="A168" s="7" t="inlineStr">
        <is>
          <t>rsz-042</t>
        </is>
      </c>
      <c r="B168" s="14" t="n">
        <v>46329</v>
      </c>
      <c r="C168" s="7" t="n">
        <v>3</v>
      </c>
      <c r="D168" s="8" t="inlineStr">
        <is>
          <t>Örökléstani fogalmak</t>
        </is>
      </c>
      <c r="E168" s="8" t="n"/>
      <c r="F168" s="7" t="inlineStr">
        <is>
          <t>Gén</t>
        </is>
      </c>
      <c r="G168" s="7" t="inlineStr">
        <is>
          <t>Mutáció</t>
        </is>
      </c>
      <c r="H168" s="7" t="inlineStr">
        <is>
          <t>Genom</t>
        </is>
      </c>
      <c r="I168" s="7" t="inlineStr">
        <is>
          <t>Klón</t>
        </is>
      </c>
      <c r="J168" s="7" t="n"/>
      <c r="K168" s="8" t="inlineStr">
        <is>
          <t>Tiszta genetika.</t>
        </is>
      </c>
    </row>
    <row r="169">
      <c r="A169" s="7" t="inlineStr">
        <is>
          <t>rsz-042</t>
        </is>
      </c>
      <c r="B169" s="14" t="n">
        <v>46329</v>
      </c>
      <c r="C169" s="7" t="n">
        <v>4</v>
      </c>
      <c r="D169" s="8" t="inlineStr">
        <is>
          <t>Magyar irodalmi folyóiratok</t>
        </is>
      </c>
      <c r="E169" s="8" t="n"/>
      <c r="F169" s="7" t="inlineStr">
        <is>
          <t>Nyugat</t>
        </is>
      </c>
      <c r="G169" s="7" t="inlineStr">
        <is>
          <t>Kortárs</t>
        </is>
      </c>
      <c r="H169" s="7" t="inlineStr">
        <is>
          <t>Holmi</t>
        </is>
      </c>
      <c r="I169" s="7" t="inlineStr">
        <is>
          <t>Jelenkor</t>
        </is>
      </c>
      <c r="J169" s="7" t="n"/>
      <c r="K169" s="8" t="inlineStr">
        <is>
          <t>FŐ CSAPDA: mind a négy hétköznapi szó is - égtáj, melléknév, cucc, korszak. Tudni kell, hogy léteznek ilyen nevű lapok.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3"/>
  <sheetViews>
    <sheetView zoomScaleNormal="100" workbookViewId="0">
      <selection activeCell="A1" sqref="A1"/>
    </sheetView>
  </sheetViews>
  <sheetFormatPr baseColWidth="8" defaultColWidth="8.6640625" defaultRowHeight="14.4"/>
  <sheetData>
    <row r="1">
      <c r="A1" s="2" t="inlineStr">
        <is>
          <t>feladvany_id</t>
        </is>
      </c>
      <c r="B1" s="2" t="inlineStr">
        <is>
          <t>pozicio</t>
        </is>
      </c>
      <c r="C1" s="2" t="inlineStr">
        <is>
          <t>szo</t>
        </is>
      </c>
      <c r="D1" s="2" t="n"/>
      <c r="E1" s="2" t="inlineStr">
        <is>
          <t>id_lista</t>
        </is>
      </c>
    </row>
    <row r="2">
      <c r="A2" t="inlineStr">
        <is>
          <t>rsz-002</t>
        </is>
      </c>
      <c r="B2" t="n">
        <v>1</v>
      </c>
      <c r="C2" t="inlineStr">
        <is>
          <t>Jókai</t>
        </is>
      </c>
      <c r="E2" t="inlineStr">
        <is>
          <t>rsz-002</t>
        </is>
      </c>
    </row>
    <row r="3">
      <c r="A3" t="inlineStr">
        <is>
          <t>rsz-002</t>
        </is>
      </c>
      <c r="B3" t="n">
        <v>2</v>
      </c>
      <c r="C3" t="inlineStr">
        <is>
          <t>Eskü</t>
        </is>
      </c>
      <c r="E3" t="inlineStr">
        <is>
          <t>rsz-003</t>
        </is>
      </c>
    </row>
    <row r="4">
      <c r="A4" t="inlineStr">
        <is>
          <t>rsz-002</t>
        </is>
      </c>
      <c r="B4" t="n">
        <v>3</v>
      </c>
      <c r="C4" t="inlineStr">
        <is>
          <t>Halász</t>
        </is>
      </c>
      <c r="E4" t="inlineStr">
        <is>
          <t>rsz-004</t>
        </is>
      </c>
    </row>
    <row r="5">
      <c r="A5" t="inlineStr">
        <is>
          <t>rsz-002</t>
        </is>
      </c>
      <c r="B5" t="n">
        <v>4</v>
      </c>
      <c r="C5" t="inlineStr">
        <is>
          <t>Szabó</t>
        </is>
      </c>
      <c r="E5" t="inlineStr">
        <is>
          <t>rsz-005</t>
        </is>
      </c>
    </row>
    <row r="6">
      <c r="A6" t="inlineStr">
        <is>
          <t>rsz-002</t>
        </is>
      </c>
      <c r="B6" t="n">
        <v>5</v>
      </c>
      <c r="C6" t="inlineStr">
        <is>
          <t>Fegyver</t>
        </is>
      </c>
      <c r="E6" t="inlineStr">
        <is>
          <t>rsz-006</t>
        </is>
      </c>
    </row>
    <row r="7">
      <c r="A7" t="inlineStr">
        <is>
          <t>rsz-002</t>
        </is>
      </c>
      <c r="B7" t="n">
        <v>6</v>
      </c>
      <c r="C7" t="inlineStr">
        <is>
          <t>Lánc</t>
        </is>
      </c>
      <c r="E7" t="inlineStr">
        <is>
          <t>rsz-007</t>
        </is>
      </c>
    </row>
    <row r="8">
      <c r="A8" t="inlineStr">
        <is>
          <t>rsz-002</t>
        </is>
      </c>
      <c r="B8" t="n">
        <v>7</v>
      </c>
      <c r="C8" t="inlineStr">
        <is>
          <t>Újházi</t>
        </is>
      </c>
      <c r="E8" t="inlineStr">
        <is>
          <t>rsz-008</t>
        </is>
      </c>
    </row>
    <row r="9">
      <c r="A9" t="inlineStr">
        <is>
          <t>rsz-002</t>
        </is>
      </c>
      <c r="B9" t="n">
        <v>8</v>
      </c>
      <c r="C9" t="inlineStr">
        <is>
          <t>Vizsga</t>
        </is>
      </c>
      <c r="E9" t="inlineStr">
        <is>
          <t>rsz-009</t>
        </is>
      </c>
    </row>
    <row r="10">
      <c r="A10" t="inlineStr">
        <is>
          <t>rsz-002</t>
        </is>
      </c>
      <c r="B10" t="n">
        <v>9</v>
      </c>
      <c r="C10" t="inlineStr">
        <is>
          <t>Erzsébet</t>
        </is>
      </c>
      <c r="E10" t="inlineStr">
        <is>
          <t>rsz-010</t>
        </is>
      </c>
    </row>
    <row r="11">
      <c r="A11" t="inlineStr">
        <is>
          <t>rsz-002</t>
        </is>
      </c>
      <c r="B11" t="n">
        <v>10</v>
      </c>
      <c r="C11" t="inlineStr">
        <is>
          <t>Szabadság</t>
        </is>
      </c>
      <c r="E11" t="inlineStr">
        <is>
          <t>rsz-011</t>
        </is>
      </c>
    </row>
    <row r="12">
      <c r="A12" t="inlineStr">
        <is>
          <t>rsz-002</t>
        </is>
      </c>
      <c r="B12" t="n">
        <v>11</v>
      </c>
      <c r="C12" t="inlineStr">
        <is>
          <t>Molnár</t>
        </is>
      </c>
      <c r="E12" t="inlineStr">
        <is>
          <t>rsz-012</t>
        </is>
      </c>
    </row>
    <row r="13">
      <c r="A13" t="inlineStr">
        <is>
          <t>rsz-002</t>
        </is>
      </c>
      <c r="B13" t="n">
        <v>12</v>
      </c>
      <c r="C13" t="inlineStr">
        <is>
          <t>Gulyás</t>
        </is>
      </c>
      <c r="E13" t="inlineStr">
        <is>
          <t>rsz-013</t>
        </is>
      </c>
    </row>
    <row r="14">
      <c r="A14" t="inlineStr">
        <is>
          <t>rsz-002</t>
        </is>
      </c>
      <c r="B14" t="n">
        <v>13</v>
      </c>
      <c r="C14" t="inlineStr">
        <is>
          <t>Kovács</t>
        </is>
      </c>
      <c r="E14" t="inlineStr">
        <is>
          <t>rsz-014</t>
        </is>
      </c>
    </row>
    <row r="15">
      <c r="A15" t="inlineStr">
        <is>
          <t>rsz-002</t>
        </is>
      </c>
      <c r="B15" t="n">
        <v>14</v>
      </c>
      <c r="C15" t="inlineStr">
        <is>
          <t>Palóc</t>
        </is>
      </c>
      <c r="E15" t="inlineStr">
        <is>
          <t>rsz-015</t>
        </is>
      </c>
    </row>
    <row r="16">
      <c r="A16" t="inlineStr">
        <is>
          <t>rsz-002</t>
        </is>
      </c>
      <c r="B16" t="n">
        <v>15</v>
      </c>
      <c r="C16" t="inlineStr">
        <is>
          <t>Lant</t>
        </is>
      </c>
      <c r="E16" t="inlineStr">
        <is>
          <t>rsz-016</t>
        </is>
      </c>
    </row>
    <row r="17">
      <c r="A17" t="inlineStr">
        <is>
          <t>rsz-002</t>
        </is>
      </c>
      <c r="B17" t="n">
        <v>16</v>
      </c>
      <c r="C17" t="inlineStr">
        <is>
          <t>Margit</t>
        </is>
      </c>
      <c r="E17" t="inlineStr">
        <is>
          <t>rsz-017</t>
        </is>
      </c>
    </row>
    <row r="18">
      <c r="A18" t="inlineStr">
        <is>
          <t>rsz-003</t>
        </is>
      </c>
      <c r="B18" t="n">
        <v>1</v>
      </c>
      <c r="C18" t="inlineStr">
        <is>
          <t>Bika</t>
        </is>
      </c>
      <c r="E18" t="inlineStr">
        <is>
          <t>rsz-018</t>
        </is>
      </c>
    </row>
    <row r="19">
      <c r="A19" t="inlineStr">
        <is>
          <t>rsz-003</t>
        </is>
      </c>
      <c r="B19" t="n">
        <v>2</v>
      </c>
      <c r="C19" t="inlineStr">
        <is>
          <t>Kos</t>
        </is>
      </c>
      <c r="E19" t="inlineStr">
        <is>
          <t>rsz-019</t>
        </is>
      </c>
    </row>
    <row r="20">
      <c r="A20" t="inlineStr">
        <is>
          <t>rsz-003</t>
        </is>
      </c>
      <c r="B20" t="n">
        <v>3</v>
      </c>
      <c r="C20" t="inlineStr">
        <is>
          <t>Rest</t>
        </is>
      </c>
      <c r="E20" t="inlineStr">
        <is>
          <t>rsz-020</t>
        </is>
      </c>
    </row>
    <row r="21">
      <c r="A21" t="inlineStr">
        <is>
          <t>rsz-003</t>
        </is>
      </c>
      <c r="B21" t="n">
        <v>4</v>
      </c>
      <c r="C21" t="inlineStr">
        <is>
          <t>Vizsla</t>
        </is>
      </c>
      <c r="E21" t="inlineStr">
        <is>
          <t>rsz-021</t>
        </is>
      </c>
    </row>
    <row r="22">
      <c r="A22" t="inlineStr">
        <is>
          <t>rsz-003</t>
        </is>
      </c>
      <c r="B22" t="n">
        <v>5</v>
      </c>
      <c r="C22" t="inlineStr">
        <is>
          <t>Mérleg</t>
        </is>
      </c>
      <c r="E22" t="inlineStr">
        <is>
          <t>rsz-022</t>
        </is>
      </c>
    </row>
    <row r="23">
      <c r="A23" t="inlineStr">
        <is>
          <t>rsz-003</t>
        </is>
      </c>
      <c r="B23" t="n">
        <v>6</v>
      </c>
      <c r="C23" t="inlineStr">
        <is>
          <t>Bélés</t>
        </is>
      </c>
      <c r="E23" t="inlineStr">
        <is>
          <t>rsz-023</t>
        </is>
      </c>
    </row>
    <row r="24">
      <c r="A24" t="inlineStr">
        <is>
          <t>rsz-003</t>
        </is>
      </c>
      <c r="B24" t="n">
        <v>7</v>
      </c>
      <c r="C24" t="inlineStr">
        <is>
          <t>Rák</t>
        </is>
      </c>
      <c r="E24" t="inlineStr">
        <is>
          <t>rsz-024</t>
        </is>
      </c>
    </row>
    <row r="25">
      <c r="A25" t="inlineStr">
        <is>
          <t>rsz-003</t>
        </is>
      </c>
      <c r="B25" t="n">
        <v>8</v>
      </c>
      <c r="C25" t="inlineStr">
        <is>
          <t>Ikrek</t>
        </is>
      </c>
      <c r="E25" t="inlineStr">
        <is>
          <t>rsz-001</t>
        </is>
      </c>
    </row>
    <row r="26">
      <c r="A26" t="inlineStr">
        <is>
          <t>rsz-003</t>
        </is>
      </c>
      <c r="B26" t="n">
        <v>9</v>
      </c>
      <c r="C26" t="inlineStr">
        <is>
          <t>Öv</t>
        </is>
      </c>
      <c r="E26" t="inlineStr">
        <is>
          <t>rsz-025</t>
        </is>
      </c>
    </row>
    <row r="27">
      <c r="A27" t="inlineStr">
        <is>
          <t>rsz-003</t>
        </is>
      </c>
      <c r="B27" t="n">
        <v>10</v>
      </c>
      <c r="C27" t="inlineStr">
        <is>
          <t>Cipő</t>
        </is>
      </c>
      <c r="E27" t="inlineStr">
        <is>
          <t>rsz-026</t>
        </is>
      </c>
    </row>
    <row r="28">
      <c r="A28" t="inlineStr">
        <is>
          <t>rsz-003</t>
        </is>
      </c>
      <c r="B28" t="n">
        <v>11</v>
      </c>
      <c r="C28" t="inlineStr">
        <is>
          <t>Harang</t>
        </is>
      </c>
      <c r="E28" t="inlineStr">
        <is>
          <t>rsz-027</t>
        </is>
      </c>
    </row>
    <row r="29">
      <c r="A29" t="inlineStr">
        <is>
          <t>rsz-003</t>
        </is>
      </c>
      <c r="B29" t="n">
        <v>12</v>
      </c>
      <c r="C29" t="inlineStr">
        <is>
          <t>Pumi</t>
        </is>
      </c>
      <c r="E29" t="inlineStr">
        <is>
          <t>rsz-028</t>
        </is>
      </c>
    </row>
    <row r="30">
      <c r="A30" t="inlineStr">
        <is>
          <t>rsz-003</t>
        </is>
      </c>
      <c r="B30" t="n">
        <v>13</v>
      </c>
      <c r="C30" t="inlineStr">
        <is>
          <t>Fehér</t>
        </is>
      </c>
      <c r="E30" t="inlineStr">
        <is>
          <t>rsz-029</t>
        </is>
      </c>
    </row>
    <row r="31">
      <c r="A31" t="inlineStr">
        <is>
          <t>rsz-003</t>
        </is>
      </c>
      <c r="B31" t="n">
        <v>14</v>
      </c>
      <c r="C31" t="inlineStr">
        <is>
          <t>Volna</t>
        </is>
      </c>
      <c r="E31" t="inlineStr">
        <is>
          <t>rsz-030</t>
        </is>
      </c>
    </row>
    <row r="32">
      <c r="A32" t="inlineStr">
        <is>
          <t>rsz-003</t>
        </is>
      </c>
      <c r="B32" t="n">
        <v>15</v>
      </c>
      <c r="C32" t="inlineStr">
        <is>
          <t>Kuvasz</t>
        </is>
      </c>
      <c r="E32" t="inlineStr">
        <is>
          <t>rsz-031</t>
        </is>
      </c>
    </row>
    <row r="33">
      <c r="A33" t="inlineStr">
        <is>
          <t>rsz-003</t>
        </is>
      </c>
      <c r="B33" t="n">
        <v>16</v>
      </c>
      <c r="C33" t="inlineStr">
        <is>
          <t>Puli</t>
        </is>
      </c>
      <c r="E33" t="inlineStr">
        <is>
          <t>rsz-032</t>
        </is>
      </c>
    </row>
    <row r="34">
      <c r="A34" t="inlineStr">
        <is>
          <t>rsz-004</t>
        </is>
      </c>
      <c r="B34" t="n">
        <v>1</v>
      </c>
      <c r="C34" t="inlineStr">
        <is>
          <t>Poén</t>
        </is>
      </c>
      <c r="E34" t="inlineStr">
        <is>
          <t>rsz-033</t>
        </is>
      </c>
    </row>
    <row r="35">
      <c r="A35" t="inlineStr">
        <is>
          <t>rsz-004</t>
        </is>
      </c>
      <c r="B35" t="n">
        <v>2</v>
      </c>
      <c r="C35" t="inlineStr">
        <is>
          <t>Barack</t>
        </is>
      </c>
      <c r="E35" t="inlineStr">
        <is>
          <t>rsz-034</t>
        </is>
      </c>
    </row>
    <row r="36">
      <c r="A36" t="inlineStr">
        <is>
          <t>rsz-004</t>
        </is>
      </c>
      <c r="B36" t="n">
        <v>3</v>
      </c>
      <c r="C36" t="inlineStr">
        <is>
          <t>Piros</t>
        </is>
      </c>
      <c r="E36" t="inlineStr">
        <is>
          <t>rsz-035</t>
        </is>
      </c>
    </row>
    <row r="37">
      <c r="A37" t="inlineStr">
        <is>
          <t>rsz-004</t>
        </is>
      </c>
      <c r="B37" t="n">
        <v>4</v>
      </c>
      <c r="C37" t="inlineStr">
        <is>
          <t>Makk</t>
        </is>
      </c>
      <c r="E37" t="inlineStr">
        <is>
          <t>rsz-036</t>
        </is>
      </c>
    </row>
    <row r="38">
      <c r="A38" t="inlineStr">
        <is>
          <t>rsz-004</t>
        </is>
      </c>
      <c r="B38" t="n">
        <v>5</v>
      </c>
      <c r="C38" t="inlineStr">
        <is>
          <t>Zöld</t>
        </is>
      </c>
      <c r="E38" t="inlineStr">
        <is>
          <t>rsz-037</t>
        </is>
      </c>
    </row>
    <row r="39">
      <c r="A39" t="inlineStr">
        <is>
          <t>rsz-004</t>
        </is>
      </c>
      <c r="B39" t="n">
        <v>6</v>
      </c>
      <c r="C39" t="inlineStr">
        <is>
          <t>Rigó</t>
        </is>
      </c>
      <c r="E39" t="inlineStr">
        <is>
          <t>rsz-038</t>
        </is>
      </c>
    </row>
    <row r="40">
      <c r="A40" t="inlineStr">
        <is>
          <t>rsz-004</t>
        </is>
      </c>
      <c r="B40" t="n">
        <v>7</v>
      </c>
      <c r="C40" t="inlineStr">
        <is>
          <t>Törköly</t>
        </is>
      </c>
      <c r="E40" t="inlineStr">
        <is>
          <t>rsz-039</t>
        </is>
      </c>
    </row>
    <row r="41">
      <c r="A41" t="inlineStr">
        <is>
          <t>rsz-004</t>
        </is>
      </c>
      <c r="B41" t="n">
        <v>8</v>
      </c>
      <c r="C41" t="inlineStr">
        <is>
          <t>Zserbó</t>
        </is>
      </c>
      <c r="E41" t="inlineStr">
        <is>
          <t>rsz-040</t>
        </is>
      </c>
    </row>
    <row r="42">
      <c r="A42" t="inlineStr">
        <is>
          <t>rsz-004</t>
        </is>
      </c>
      <c r="B42" t="n">
        <v>9</v>
      </c>
      <c r="C42" t="inlineStr">
        <is>
          <t>Ágyú</t>
        </is>
      </c>
      <c r="E42" t="inlineStr">
        <is>
          <t>rsz-041</t>
        </is>
      </c>
    </row>
    <row r="43">
      <c r="A43" t="inlineStr">
        <is>
          <t>rsz-004</t>
        </is>
      </c>
      <c r="B43" t="n">
        <v>10</v>
      </c>
      <c r="C43" t="inlineStr">
        <is>
          <t>Esterházy</t>
        </is>
      </c>
      <c r="E43" t="inlineStr">
        <is>
          <t>rsz-042</t>
        </is>
      </c>
    </row>
    <row r="44">
      <c r="A44" t="inlineStr">
        <is>
          <t>rsz-004</t>
        </is>
      </c>
      <c r="B44" t="n">
        <v>11</v>
      </c>
      <c r="C44" t="inlineStr">
        <is>
          <t>Puska</t>
        </is>
      </c>
    </row>
    <row r="45">
      <c r="A45" t="inlineStr">
        <is>
          <t>rsz-004</t>
        </is>
      </c>
      <c r="B45" t="n">
        <v>12</v>
      </c>
      <c r="C45" t="inlineStr">
        <is>
          <t>Kökény</t>
        </is>
      </c>
    </row>
    <row r="46">
      <c r="A46" t="inlineStr">
        <is>
          <t>rsz-004</t>
        </is>
      </c>
      <c r="B46" t="n">
        <v>13</v>
      </c>
      <c r="C46" t="inlineStr">
        <is>
          <t>Dobos</t>
        </is>
      </c>
    </row>
    <row r="47">
      <c r="A47" t="inlineStr">
        <is>
          <t>rsz-004</t>
        </is>
      </c>
      <c r="B47" t="n">
        <v>14</v>
      </c>
      <c r="C47" t="inlineStr">
        <is>
          <t>Vicc</t>
        </is>
      </c>
    </row>
    <row r="48">
      <c r="A48" t="inlineStr">
        <is>
          <t>rsz-004</t>
        </is>
      </c>
      <c r="B48" t="n">
        <v>15</v>
      </c>
      <c r="C48" t="inlineStr">
        <is>
          <t>Tök</t>
        </is>
      </c>
    </row>
    <row r="49">
      <c r="A49" t="inlineStr">
        <is>
          <t>rsz-004</t>
        </is>
      </c>
      <c r="B49" t="n">
        <v>16</v>
      </c>
      <c r="C49" t="inlineStr">
        <is>
          <t>Szilva</t>
        </is>
      </c>
    </row>
    <row r="50">
      <c r="A50" t="inlineStr">
        <is>
          <t>rsz-005</t>
        </is>
      </c>
      <c r="B50" t="n">
        <v>1</v>
      </c>
      <c r="C50" t="inlineStr">
        <is>
          <t>Homok</t>
        </is>
      </c>
    </row>
    <row r="51">
      <c r="A51" t="inlineStr">
        <is>
          <t>rsz-005</t>
        </is>
      </c>
      <c r="B51" t="n">
        <v>2</v>
      </c>
      <c r="C51" t="inlineStr">
        <is>
          <t>Frakk</t>
        </is>
      </c>
    </row>
    <row r="52">
      <c r="A52" t="inlineStr">
        <is>
          <t>rsz-005</t>
        </is>
      </c>
      <c r="B52" t="n">
        <v>3</v>
      </c>
      <c r="C52" t="inlineStr">
        <is>
          <t>Katapult</t>
        </is>
      </c>
    </row>
    <row r="53">
      <c r="A53" t="inlineStr">
        <is>
          <t>rsz-005</t>
        </is>
      </c>
      <c r="B53" t="n">
        <v>4</v>
      </c>
      <c r="C53" t="inlineStr">
        <is>
          <t>Ferences</t>
        </is>
      </c>
    </row>
    <row r="54">
      <c r="A54" t="inlineStr">
        <is>
          <t>rsz-005</t>
        </is>
      </c>
      <c r="B54" t="n">
        <v>5</v>
      </c>
      <c r="C54" t="inlineStr">
        <is>
          <t>Lát</t>
        </is>
      </c>
    </row>
    <row r="55">
      <c r="A55" t="inlineStr">
        <is>
          <t>rsz-005</t>
        </is>
      </c>
      <c r="B55" t="n">
        <v>6</v>
      </c>
      <c r="C55" t="inlineStr">
        <is>
          <t>Vuk</t>
        </is>
      </c>
    </row>
    <row r="56">
      <c r="A56" t="inlineStr">
        <is>
          <t>rsz-005</t>
        </is>
      </c>
      <c r="B56" t="n">
        <v>7</v>
      </c>
      <c r="C56" t="inlineStr">
        <is>
          <t>Kép</t>
        </is>
      </c>
    </row>
    <row r="57">
      <c r="A57" t="inlineStr">
        <is>
          <t>rsz-005</t>
        </is>
      </c>
      <c r="B57" t="n">
        <v>8</v>
      </c>
      <c r="C57" t="inlineStr">
        <is>
          <t>Nap</t>
        </is>
      </c>
    </row>
    <row r="58">
      <c r="A58" t="inlineStr">
        <is>
          <t>rsz-005</t>
        </is>
      </c>
      <c r="B58" t="n">
        <v>9</v>
      </c>
      <c r="C58" t="inlineStr">
        <is>
          <t>Tér</t>
        </is>
      </c>
    </row>
    <row r="59">
      <c r="A59" t="inlineStr">
        <is>
          <t>rsz-005</t>
        </is>
      </c>
      <c r="B59" t="n">
        <v>10</v>
      </c>
      <c r="C59" t="inlineStr">
        <is>
          <t>Inga</t>
        </is>
      </c>
    </row>
    <row r="60">
      <c r="A60" t="inlineStr">
        <is>
          <t>rsz-005</t>
        </is>
      </c>
      <c r="B60" t="n">
        <v>11</v>
      </c>
      <c r="C60" t="inlineStr">
        <is>
          <t>Kukori</t>
        </is>
      </c>
    </row>
    <row r="61">
      <c r="A61" t="inlineStr">
        <is>
          <t>rsz-005</t>
        </is>
      </c>
      <c r="B61" t="n">
        <v>12</v>
      </c>
      <c r="C61" t="inlineStr">
        <is>
          <t>Torony</t>
        </is>
      </c>
    </row>
    <row r="62">
      <c r="A62" t="inlineStr">
        <is>
          <t>rsz-005</t>
        </is>
      </c>
      <c r="B62" t="n">
        <v>13</v>
      </c>
      <c r="C62" t="inlineStr">
        <is>
          <t>Süsü</t>
        </is>
      </c>
    </row>
    <row r="63">
      <c r="A63" t="inlineStr">
        <is>
          <t>rsz-005</t>
        </is>
      </c>
      <c r="B63" t="n">
        <v>14</v>
      </c>
      <c r="C63" t="inlineStr">
        <is>
          <t>Liliom</t>
        </is>
      </c>
    </row>
    <row r="64">
      <c r="A64" t="inlineStr">
        <is>
          <t>rsz-005</t>
        </is>
      </c>
      <c r="B64" t="n">
        <v>15</v>
      </c>
      <c r="C64" t="inlineStr">
        <is>
          <t>Kar</t>
        </is>
      </c>
    </row>
    <row r="65">
      <c r="A65" t="inlineStr">
        <is>
          <t>rsz-005</t>
        </is>
      </c>
      <c r="B65" t="n">
        <v>16</v>
      </c>
      <c r="C65" t="inlineStr">
        <is>
          <t>Andorra</t>
        </is>
      </c>
    </row>
    <row r="66">
      <c r="A66" t="inlineStr">
        <is>
          <t>rsz-006</t>
        </is>
      </c>
      <c r="B66" t="n">
        <v>1</v>
      </c>
      <c r="C66" t="inlineStr">
        <is>
          <t>Vezér</t>
        </is>
      </c>
    </row>
    <row r="67">
      <c r="A67" t="inlineStr">
        <is>
          <t>rsz-006</t>
        </is>
      </c>
      <c r="B67" t="n">
        <v>2</v>
      </c>
      <c r="C67" t="inlineStr">
        <is>
          <t>Cipőfűző</t>
        </is>
      </c>
    </row>
    <row r="68">
      <c r="A68" t="inlineStr">
        <is>
          <t>rsz-006</t>
        </is>
      </c>
      <c r="B68" t="n">
        <v>3</v>
      </c>
      <c r="C68" t="inlineStr">
        <is>
          <t>Telefon</t>
        </is>
      </c>
    </row>
    <row r="69">
      <c r="A69" t="inlineStr">
        <is>
          <t>rsz-006</t>
        </is>
      </c>
      <c r="B69" t="n">
        <v>4</v>
      </c>
      <c r="C69" t="inlineStr">
        <is>
          <t>Verseny</t>
        </is>
      </c>
    </row>
    <row r="70">
      <c r="A70" t="inlineStr">
        <is>
          <t>rsz-006</t>
        </is>
      </c>
      <c r="B70" t="n">
        <v>5</v>
      </c>
      <c r="C70" t="inlineStr">
        <is>
          <t>Bástya</t>
        </is>
      </c>
    </row>
    <row r="71">
      <c r="A71" t="inlineStr">
        <is>
          <t>rsz-006</t>
        </is>
      </c>
      <c r="B71" t="n">
        <v>6</v>
      </c>
      <c r="C71" t="inlineStr">
        <is>
          <t>Tisza</t>
        </is>
      </c>
    </row>
    <row r="72">
      <c r="A72" t="inlineStr">
        <is>
          <t>rsz-006</t>
        </is>
      </c>
      <c r="B72" t="n">
        <v>7</v>
      </c>
      <c r="C72" t="inlineStr">
        <is>
          <t>Rejtvény</t>
        </is>
      </c>
    </row>
    <row r="73">
      <c r="A73" t="inlineStr">
        <is>
          <t>rsz-006</t>
        </is>
      </c>
      <c r="B73" t="n">
        <v>8</v>
      </c>
      <c r="C73" t="inlineStr">
        <is>
          <t>Huszár</t>
        </is>
      </c>
    </row>
    <row r="74">
      <c r="A74" t="inlineStr">
        <is>
          <t>rsz-006</t>
        </is>
      </c>
      <c r="B74" t="n">
        <v>9</v>
      </c>
      <c r="C74" t="inlineStr">
        <is>
          <t>Futó</t>
        </is>
      </c>
    </row>
    <row r="75">
      <c r="A75" t="inlineStr">
        <is>
          <t>rsz-006</t>
        </is>
      </c>
      <c r="B75" t="n">
        <v>10</v>
      </c>
      <c r="C75" t="inlineStr">
        <is>
          <t>Rába</t>
        </is>
      </c>
    </row>
    <row r="76">
      <c r="A76" t="inlineStr">
        <is>
          <t>rsz-006</t>
        </is>
      </c>
      <c r="B76" t="n">
        <v>11</v>
      </c>
      <c r="C76" t="inlineStr">
        <is>
          <t>Csomó</t>
        </is>
      </c>
    </row>
    <row r="77">
      <c r="A77" t="inlineStr">
        <is>
          <t>rsz-006</t>
        </is>
      </c>
      <c r="B77" t="n">
        <v>12</v>
      </c>
      <c r="C77" t="inlineStr">
        <is>
          <t>Kölcsön</t>
        </is>
      </c>
    </row>
    <row r="78">
      <c r="A78" t="inlineStr">
        <is>
          <t>rsz-006</t>
        </is>
      </c>
      <c r="B78" t="n">
        <v>13</v>
      </c>
      <c r="C78" t="inlineStr">
        <is>
          <t>Feladat</t>
        </is>
      </c>
    </row>
    <row r="79">
      <c r="A79" t="inlineStr">
        <is>
          <t>rsz-006</t>
        </is>
      </c>
      <c r="B79" t="n">
        <v>14</v>
      </c>
      <c r="C79" t="inlineStr">
        <is>
          <t>Sajó</t>
        </is>
      </c>
    </row>
    <row r="80">
      <c r="A80" t="inlineStr">
        <is>
          <t>rsz-006</t>
        </is>
      </c>
      <c r="B80" t="n">
        <v>15</v>
      </c>
      <c r="C80" t="inlineStr">
        <is>
          <t>Kabát</t>
        </is>
      </c>
    </row>
    <row r="81">
      <c r="A81" t="inlineStr">
        <is>
          <t>rsz-006</t>
        </is>
      </c>
      <c r="B81" t="n">
        <v>16</v>
      </c>
      <c r="C81" t="inlineStr">
        <is>
          <t>Dráva</t>
        </is>
      </c>
    </row>
    <row r="82">
      <c r="A82" t="inlineStr">
        <is>
          <t>rsz-007</t>
        </is>
      </c>
      <c r="B82" t="n">
        <v>1</v>
      </c>
      <c r="C82" t="inlineStr">
        <is>
          <t>Korona</t>
        </is>
      </c>
    </row>
    <row r="83">
      <c r="A83" t="inlineStr">
        <is>
          <t>rsz-007</t>
        </is>
      </c>
      <c r="B83" t="n">
        <v>2</v>
      </c>
      <c r="C83" t="inlineStr">
        <is>
          <t>Fazék</t>
        </is>
      </c>
    </row>
    <row r="84">
      <c r="A84" t="inlineStr">
        <is>
          <t>rsz-007</t>
        </is>
      </c>
      <c r="B84" t="n">
        <v>3</v>
      </c>
      <c r="C84" t="inlineStr">
        <is>
          <t>Pinty</t>
        </is>
      </c>
    </row>
    <row r="85">
      <c r="A85" t="inlineStr">
        <is>
          <t>rsz-007</t>
        </is>
      </c>
      <c r="B85" t="n">
        <v>4</v>
      </c>
      <c r="C85" t="inlineStr">
        <is>
          <t>Kosár</t>
        </is>
      </c>
    </row>
    <row r="86">
      <c r="A86" t="inlineStr">
        <is>
          <t>rsz-007</t>
        </is>
      </c>
      <c r="B86" t="n">
        <v>5</v>
      </c>
      <c r="C86" t="inlineStr">
        <is>
          <t>Font</t>
        </is>
      </c>
    </row>
    <row r="87">
      <c r="A87" t="inlineStr">
        <is>
          <t>rsz-007</t>
        </is>
      </c>
      <c r="B87" t="n">
        <v>6</v>
      </c>
      <c r="C87" t="inlineStr">
        <is>
          <t>Zsák</t>
        </is>
      </c>
    </row>
    <row r="88">
      <c r="A88" t="inlineStr">
        <is>
          <t>rsz-007</t>
        </is>
      </c>
      <c r="B88" t="n">
        <v>7</v>
      </c>
      <c r="C88" t="inlineStr">
        <is>
          <t>Bagoly</t>
        </is>
      </c>
    </row>
    <row r="89">
      <c r="A89" t="inlineStr">
        <is>
          <t>rsz-007</t>
        </is>
      </c>
      <c r="B89" t="n">
        <v>8</v>
      </c>
      <c r="C89" t="inlineStr">
        <is>
          <t>Frank</t>
        </is>
      </c>
    </row>
    <row r="90">
      <c r="A90" t="inlineStr">
        <is>
          <t>rsz-007</t>
        </is>
      </c>
      <c r="B90" t="n">
        <v>9</v>
      </c>
      <c r="C90" t="inlineStr">
        <is>
          <t>Szak</t>
        </is>
      </c>
    </row>
    <row r="91">
      <c r="A91" t="inlineStr">
        <is>
          <t>rsz-007</t>
        </is>
      </c>
      <c r="B91" t="n">
        <v>10</v>
      </c>
      <c r="C91" t="inlineStr">
        <is>
          <t>Bögre</t>
        </is>
      </c>
    </row>
    <row r="92">
      <c r="A92" t="inlineStr">
        <is>
          <t>rsz-007</t>
        </is>
      </c>
      <c r="B92" t="n">
        <v>11</v>
      </c>
      <c r="C92" t="inlineStr">
        <is>
          <t>Gólya</t>
        </is>
      </c>
    </row>
    <row r="93">
      <c r="A93" t="inlineStr">
        <is>
          <t>rsz-007</t>
        </is>
      </c>
      <c r="B93" t="n">
        <v>12</v>
      </c>
      <c r="C93" t="inlineStr">
        <is>
          <t>Zseb</t>
        </is>
      </c>
    </row>
    <row r="94">
      <c r="A94" t="inlineStr">
        <is>
          <t>rsz-007</t>
        </is>
      </c>
      <c r="B94" t="n">
        <v>13</v>
      </c>
      <c r="C94" t="inlineStr">
        <is>
          <t>Mese</t>
        </is>
      </c>
    </row>
    <row r="95">
      <c r="A95" t="inlineStr">
        <is>
          <t>rsz-007</t>
        </is>
      </c>
      <c r="B95" t="n">
        <v>14</v>
      </c>
      <c r="C95" t="inlineStr">
        <is>
          <t>Fecske</t>
        </is>
      </c>
    </row>
    <row r="96">
      <c r="A96" t="inlineStr">
        <is>
          <t>rsz-007</t>
        </is>
      </c>
      <c r="B96" t="n">
        <v>15</v>
      </c>
      <c r="C96" t="inlineStr">
        <is>
          <t>Tan</t>
        </is>
      </c>
    </row>
    <row r="97">
      <c r="A97" t="inlineStr">
        <is>
          <t>rsz-007</t>
        </is>
      </c>
      <c r="B97" t="n">
        <v>16</v>
      </c>
      <c r="C97" t="inlineStr">
        <is>
          <t>Márka</t>
        </is>
      </c>
    </row>
    <row r="98">
      <c r="A98" t="inlineStr">
        <is>
          <t>rsz-008</t>
        </is>
      </c>
      <c r="B98" t="n">
        <v>1</v>
      </c>
      <c r="C98" t="inlineStr">
        <is>
          <t>Fonyód</t>
        </is>
      </c>
    </row>
    <row r="99">
      <c r="A99" t="inlineStr">
        <is>
          <t>rsz-008</t>
        </is>
      </c>
      <c r="B99" t="n">
        <v>2</v>
      </c>
      <c r="C99" t="inlineStr">
        <is>
          <t>Tihany</t>
        </is>
      </c>
    </row>
    <row r="100">
      <c r="A100" t="inlineStr">
        <is>
          <t>rsz-008</t>
        </is>
      </c>
      <c r="B100" t="n">
        <v>3</v>
      </c>
      <c r="C100" t="inlineStr">
        <is>
          <t>Rizike</t>
        </is>
      </c>
    </row>
    <row r="101">
      <c r="A101" t="inlineStr">
        <is>
          <t>rsz-008</t>
        </is>
      </c>
      <c r="B101" t="n">
        <v>4</v>
      </c>
      <c r="C101" t="inlineStr">
        <is>
          <t>Gulya</t>
        </is>
      </c>
    </row>
    <row r="102">
      <c r="A102" t="inlineStr">
        <is>
          <t>rsz-008</t>
        </is>
      </c>
      <c r="B102" t="n">
        <v>5</v>
      </c>
      <c r="C102" t="inlineStr">
        <is>
          <t>Csiperke</t>
        </is>
      </c>
    </row>
    <row r="103">
      <c r="A103" t="inlineStr">
        <is>
          <t>rsz-008</t>
        </is>
      </c>
      <c r="B103" t="n">
        <v>6</v>
      </c>
      <c r="C103" t="inlineStr">
        <is>
          <t>Labda</t>
        </is>
      </c>
    </row>
    <row r="104">
      <c r="A104" t="inlineStr">
        <is>
          <t>rsz-008</t>
        </is>
      </c>
      <c r="B104" t="n">
        <v>7</v>
      </c>
      <c r="C104" t="inlineStr">
        <is>
          <t>Tolvaj</t>
        </is>
      </c>
    </row>
    <row r="105">
      <c r="A105" t="inlineStr">
        <is>
          <t>rsz-008</t>
        </is>
      </c>
      <c r="B105" t="n">
        <v>8</v>
      </c>
      <c r="C105" t="inlineStr">
        <is>
          <t>Siófok</t>
        </is>
      </c>
    </row>
    <row r="106">
      <c r="A106" t="inlineStr">
        <is>
          <t>rsz-008</t>
        </is>
      </c>
      <c r="B106" t="n">
        <v>9</v>
      </c>
      <c r="C106" t="inlineStr">
        <is>
          <t>Degesz</t>
        </is>
      </c>
    </row>
    <row r="107">
      <c r="A107" t="inlineStr">
        <is>
          <t>rsz-008</t>
        </is>
      </c>
      <c r="B107" t="n">
        <v>10</v>
      </c>
      <c r="C107" t="inlineStr">
        <is>
          <t>Nátha</t>
        </is>
      </c>
    </row>
    <row r="108">
      <c r="A108" t="inlineStr">
        <is>
          <t>rsz-008</t>
        </is>
      </c>
      <c r="B108" t="n">
        <v>11</v>
      </c>
      <c r="C108" t="inlineStr">
        <is>
          <t>Galóca</t>
        </is>
      </c>
    </row>
    <row r="109">
      <c r="A109" t="inlineStr">
        <is>
          <t>rsz-008</t>
        </is>
      </c>
      <c r="B109" t="n">
        <v>12</v>
      </c>
      <c r="C109" t="inlineStr">
        <is>
          <t>Keszthely</t>
        </is>
      </c>
    </row>
    <row r="110">
      <c r="A110" t="inlineStr">
        <is>
          <t>rsz-008</t>
        </is>
      </c>
      <c r="B110" t="n">
        <v>13</v>
      </c>
      <c r="C110" t="inlineStr">
        <is>
          <t>Kóma</t>
        </is>
      </c>
    </row>
    <row r="111">
      <c r="A111" t="inlineStr">
        <is>
          <t>rsz-008</t>
        </is>
      </c>
      <c r="B111" t="n">
        <v>14</v>
      </c>
      <c r="C111" t="inlineStr">
        <is>
          <t>Vargánya</t>
        </is>
      </c>
    </row>
    <row r="112">
      <c r="A112" t="inlineStr">
        <is>
          <t>rsz-008</t>
        </is>
      </c>
      <c r="B112" t="n">
        <v>15</v>
      </c>
      <c r="C112" t="inlineStr">
        <is>
          <t>Fonál</t>
        </is>
      </c>
    </row>
    <row r="113">
      <c r="A113" t="inlineStr">
        <is>
          <t>rsz-008</t>
        </is>
      </c>
      <c r="B113" t="n">
        <v>16</v>
      </c>
      <c r="C113" t="inlineStr">
        <is>
          <t>Rege</t>
        </is>
      </c>
    </row>
    <row r="114">
      <c r="A114" t="inlineStr">
        <is>
          <t>rsz-009</t>
        </is>
      </c>
      <c r="B114" t="n">
        <v>1</v>
      </c>
      <c r="C114" t="inlineStr">
        <is>
          <t>Kapor</t>
        </is>
      </c>
    </row>
    <row r="115">
      <c r="A115" t="inlineStr">
        <is>
          <t>rsz-009</t>
        </is>
      </c>
      <c r="B115" t="n">
        <v>2</v>
      </c>
      <c r="C115" t="inlineStr">
        <is>
          <t>Malom</t>
        </is>
      </c>
    </row>
    <row r="116">
      <c r="A116" t="inlineStr">
        <is>
          <t>rsz-009</t>
        </is>
      </c>
      <c r="B116" t="n">
        <v>3</v>
      </c>
      <c r="C116" t="inlineStr">
        <is>
          <t>Kamat</t>
        </is>
      </c>
    </row>
    <row r="117">
      <c r="A117" t="inlineStr">
        <is>
          <t>rsz-009</t>
        </is>
      </c>
      <c r="B117" t="n">
        <v>4</v>
      </c>
      <c r="C117" t="inlineStr">
        <is>
          <t>Sas</t>
        </is>
      </c>
    </row>
    <row r="118">
      <c r="A118" t="inlineStr">
        <is>
          <t>rsz-009</t>
        </is>
      </c>
      <c r="B118" t="n">
        <v>5</v>
      </c>
      <c r="C118" t="inlineStr">
        <is>
          <t>Kömény</t>
        </is>
      </c>
    </row>
    <row r="119">
      <c r="A119" t="inlineStr">
        <is>
          <t>rsz-009</t>
        </is>
      </c>
      <c r="B119" t="n">
        <v>6</v>
      </c>
      <c r="C119" t="inlineStr">
        <is>
          <t>Csend</t>
        </is>
      </c>
    </row>
    <row r="120">
      <c r="A120" t="inlineStr">
        <is>
          <t>rsz-009</t>
        </is>
      </c>
      <c r="B120" t="n">
        <v>7</v>
      </c>
      <c r="C120" t="inlineStr">
        <is>
          <t>Kerek</t>
        </is>
      </c>
    </row>
    <row r="121">
      <c r="A121" t="inlineStr">
        <is>
          <t>rsz-009</t>
        </is>
      </c>
      <c r="B121" t="n">
        <v>8</v>
      </c>
      <c r="C121" t="inlineStr">
        <is>
          <t>Gólya</t>
        </is>
      </c>
    </row>
    <row r="122">
      <c r="A122" t="inlineStr">
        <is>
          <t>rsz-009</t>
        </is>
      </c>
      <c r="B122" t="n">
        <v>9</v>
      </c>
      <c r="C122" t="inlineStr">
        <is>
          <t>Kakas</t>
        </is>
      </c>
    </row>
    <row r="123">
      <c r="A123" t="inlineStr">
        <is>
          <t>rsz-009</t>
        </is>
      </c>
      <c r="B123" t="n">
        <v>10</v>
      </c>
      <c r="C123" t="inlineStr">
        <is>
          <t>Vihar</t>
        </is>
      </c>
    </row>
    <row r="124">
      <c r="A124" t="inlineStr">
        <is>
          <t>rsz-009</t>
        </is>
      </c>
      <c r="B124" t="n">
        <v>11</v>
      </c>
      <c r="C124" t="inlineStr">
        <is>
          <t>Bors</t>
        </is>
      </c>
    </row>
    <row r="125">
      <c r="A125" t="inlineStr">
        <is>
          <t>rsz-009</t>
        </is>
      </c>
      <c r="B125" t="n">
        <v>12</v>
      </c>
      <c r="C125" t="inlineStr">
        <is>
          <t>Pap</t>
        </is>
      </c>
    </row>
    <row r="126">
      <c r="A126" t="inlineStr">
        <is>
          <t>rsz-009</t>
        </is>
      </c>
      <c r="B126" t="n">
        <v>13</v>
      </c>
      <c r="C126" t="inlineStr">
        <is>
          <t>Görög</t>
        </is>
      </c>
    </row>
    <row r="127">
      <c r="A127" t="inlineStr">
        <is>
          <t>rsz-009</t>
        </is>
      </c>
      <c r="B127" t="n">
        <v>14</v>
      </c>
      <c r="C127" t="inlineStr">
        <is>
          <t>Szék</t>
        </is>
      </c>
    </row>
    <row r="128">
      <c r="A128" t="inlineStr">
        <is>
          <t>rsz-009</t>
        </is>
      </c>
      <c r="B128" t="n">
        <v>15</v>
      </c>
      <c r="C128" t="inlineStr">
        <is>
          <t>Babér</t>
        </is>
      </c>
    </row>
    <row r="129">
      <c r="A129" t="inlineStr">
        <is>
          <t>rsz-009</t>
        </is>
      </c>
      <c r="B129" t="n">
        <v>16</v>
      </c>
      <c r="C129" t="inlineStr">
        <is>
          <t>Asztal</t>
        </is>
      </c>
    </row>
    <row r="130">
      <c r="A130" t="inlineStr">
        <is>
          <t>rsz-010</t>
        </is>
      </c>
      <c r="B130" t="n">
        <v>1</v>
      </c>
      <c r="C130" t="inlineStr">
        <is>
          <t>Hajós</t>
        </is>
      </c>
    </row>
    <row r="131">
      <c r="A131" t="inlineStr">
        <is>
          <t>rsz-010</t>
        </is>
      </c>
      <c r="B131" t="n">
        <v>2</v>
      </c>
      <c r="C131" t="inlineStr">
        <is>
          <t>Szó</t>
        </is>
      </c>
    </row>
    <row r="132">
      <c r="A132" t="inlineStr">
        <is>
          <t>rsz-010</t>
        </is>
      </c>
      <c r="B132" t="n">
        <v>3</v>
      </c>
      <c r="C132" t="inlineStr">
        <is>
          <t>Óvári</t>
        </is>
      </c>
    </row>
    <row r="133">
      <c r="A133" t="inlineStr">
        <is>
          <t>rsz-010</t>
        </is>
      </c>
      <c r="B133" t="n">
        <v>4</v>
      </c>
      <c r="C133" t="inlineStr">
        <is>
          <t>Karaván</t>
        </is>
      </c>
    </row>
    <row r="134">
      <c r="A134" t="inlineStr">
        <is>
          <t>rsz-010</t>
        </is>
      </c>
      <c r="B134" t="n">
        <v>5</v>
      </c>
      <c r="C134" t="inlineStr">
        <is>
          <t>Trappista</t>
        </is>
      </c>
    </row>
    <row r="135">
      <c r="A135" t="inlineStr">
        <is>
          <t>rsz-010</t>
        </is>
      </c>
      <c r="B135" t="n">
        <v>6</v>
      </c>
      <c r="C135" t="inlineStr">
        <is>
          <t>Héj</t>
        </is>
      </c>
    </row>
    <row r="136">
      <c r="A136" t="inlineStr">
        <is>
          <t>rsz-010</t>
        </is>
      </c>
      <c r="B136" t="n">
        <v>7</v>
      </c>
      <c r="C136" t="inlineStr">
        <is>
          <t>Ígéret</t>
        </is>
      </c>
    </row>
    <row r="137">
      <c r="A137" t="inlineStr">
        <is>
          <t>rsz-010</t>
        </is>
      </c>
      <c r="B137" t="n">
        <v>8</v>
      </c>
      <c r="C137" t="inlineStr">
        <is>
          <t>Baja</t>
        </is>
      </c>
    </row>
    <row r="138">
      <c r="A138" t="inlineStr">
        <is>
          <t>rsz-010</t>
        </is>
      </c>
      <c r="B138" t="n">
        <v>9</v>
      </c>
      <c r="C138" t="inlineStr">
        <is>
          <t>Üveg</t>
        </is>
      </c>
    </row>
    <row r="139">
      <c r="A139" t="inlineStr">
        <is>
          <t>rsz-010</t>
        </is>
      </c>
      <c r="B139" t="n">
        <v>10</v>
      </c>
      <c r="C139" t="inlineStr">
        <is>
          <t>Tata</t>
        </is>
      </c>
    </row>
    <row r="140">
      <c r="A140" t="inlineStr">
        <is>
          <t>rsz-010</t>
        </is>
      </c>
      <c r="B140" t="n">
        <v>11</v>
      </c>
      <c r="C140" t="inlineStr">
        <is>
          <t>Szabály</t>
        </is>
      </c>
    </row>
    <row r="141">
      <c r="A141" t="inlineStr">
        <is>
          <t>rsz-010</t>
        </is>
      </c>
      <c r="B141" t="n">
        <v>12</v>
      </c>
      <c r="C141" t="inlineStr">
        <is>
          <t>Tanú</t>
        </is>
      </c>
    </row>
    <row r="142">
      <c r="A142" t="inlineStr">
        <is>
          <t>rsz-010</t>
        </is>
      </c>
      <c r="B142" t="n">
        <v>13</v>
      </c>
      <c r="C142" t="inlineStr">
        <is>
          <t>Távolság</t>
        </is>
      </c>
    </row>
    <row r="143">
      <c r="A143" t="inlineStr">
        <is>
          <t>rsz-010</t>
        </is>
      </c>
      <c r="B143" t="n">
        <v>14</v>
      </c>
      <c r="C143" t="inlineStr">
        <is>
          <t>Gyula</t>
        </is>
      </c>
    </row>
    <row r="144">
      <c r="A144" t="inlineStr">
        <is>
          <t>rsz-010</t>
        </is>
      </c>
      <c r="B144" t="n">
        <v>15</v>
      </c>
      <c r="C144" t="inlineStr">
        <is>
          <t>Pannónia</t>
        </is>
      </c>
    </row>
    <row r="145">
      <c r="A145" t="inlineStr">
        <is>
          <t>rsz-010</t>
        </is>
      </c>
      <c r="B145" t="n">
        <v>16</v>
      </c>
      <c r="C145" t="inlineStr">
        <is>
          <t>Golyó</t>
        </is>
      </c>
    </row>
    <row r="146">
      <c r="A146" t="inlineStr">
        <is>
          <t>rsz-011</t>
        </is>
      </c>
      <c r="B146" t="n">
        <v>1</v>
      </c>
      <c r="C146" t="inlineStr">
        <is>
          <t>Ripsz</t>
        </is>
      </c>
    </row>
    <row r="147">
      <c r="A147" t="inlineStr">
        <is>
          <t>rsz-011</t>
        </is>
      </c>
      <c r="B147" t="n">
        <v>2</v>
      </c>
      <c r="C147" t="inlineStr">
        <is>
          <t>Dimbes</t>
        </is>
      </c>
    </row>
    <row r="148">
      <c r="A148" t="inlineStr">
        <is>
          <t>rsz-011</t>
        </is>
      </c>
      <c r="B148" t="n">
        <v>3</v>
      </c>
      <c r="C148" t="inlineStr">
        <is>
          <t>Sátor</t>
        </is>
      </c>
    </row>
    <row r="149">
      <c r="A149" t="inlineStr">
        <is>
          <t>rsz-011</t>
        </is>
      </c>
      <c r="B149" t="n">
        <v>4</v>
      </c>
      <c r="C149" t="inlineStr">
        <is>
          <t>Römi</t>
        </is>
      </c>
    </row>
    <row r="150">
      <c r="A150" t="inlineStr">
        <is>
          <t>rsz-011</t>
        </is>
      </c>
      <c r="B150" t="n">
        <v>5</v>
      </c>
      <c r="C150" t="inlineStr">
        <is>
          <t>Rekord</t>
        </is>
      </c>
    </row>
    <row r="151">
      <c r="A151" t="inlineStr">
        <is>
          <t>rsz-011</t>
        </is>
      </c>
      <c r="B151" t="n">
        <v>6</v>
      </c>
      <c r="C151" t="inlineStr">
        <is>
          <t>Ulti</t>
        </is>
      </c>
    </row>
    <row r="152">
      <c r="A152" t="inlineStr">
        <is>
          <t>rsz-011</t>
        </is>
      </c>
      <c r="B152" t="n">
        <v>7</v>
      </c>
      <c r="C152" t="inlineStr">
        <is>
          <t>Blaha</t>
        </is>
      </c>
    </row>
    <row r="153">
      <c r="A153" t="inlineStr">
        <is>
          <t>rsz-011</t>
        </is>
      </c>
      <c r="B153" t="n">
        <v>8</v>
      </c>
      <c r="C153" t="inlineStr">
        <is>
          <t>Lehel</t>
        </is>
      </c>
    </row>
    <row r="154">
      <c r="A154" t="inlineStr">
        <is>
          <t>rsz-011</t>
        </is>
      </c>
      <c r="B154" t="n">
        <v>9</v>
      </c>
      <c r="C154" t="inlineStr">
        <is>
          <t>Szobor</t>
        </is>
      </c>
    </row>
    <row r="155">
      <c r="A155" t="inlineStr">
        <is>
          <t>rsz-011</t>
        </is>
      </c>
      <c r="B155" t="n">
        <v>10</v>
      </c>
      <c r="C155" t="inlineStr">
        <is>
          <t>Opera</t>
        </is>
      </c>
    </row>
    <row r="156">
      <c r="A156" t="inlineStr">
        <is>
          <t>rsz-011</t>
        </is>
      </c>
      <c r="B156" t="n">
        <v>11</v>
      </c>
      <c r="C156" t="inlineStr">
        <is>
          <t>Astoria</t>
        </is>
      </c>
    </row>
    <row r="157">
      <c r="A157" t="inlineStr">
        <is>
          <t>rsz-011</t>
        </is>
      </c>
      <c r="B157" t="n">
        <v>12</v>
      </c>
      <c r="C157" t="inlineStr">
        <is>
          <t>Tarka</t>
        </is>
      </c>
    </row>
    <row r="158">
      <c r="A158" t="inlineStr">
        <is>
          <t>rsz-011</t>
        </is>
      </c>
      <c r="B158" t="n">
        <v>13</v>
      </c>
      <c r="C158" t="inlineStr">
        <is>
          <t>Snapszer</t>
        </is>
      </c>
    </row>
    <row r="159">
      <c r="A159" t="inlineStr">
        <is>
          <t>rsz-011</t>
        </is>
      </c>
      <c r="B159" t="n">
        <v>14</v>
      </c>
      <c r="C159" t="inlineStr">
        <is>
          <t>Csiga</t>
        </is>
      </c>
    </row>
    <row r="160">
      <c r="A160" t="inlineStr">
        <is>
          <t>rsz-011</t>
        </is>
      </c>
      <c r="B160" t="n">
        <v>15</v>
      </c>
      <c r="C160" t="inlineStr">
        <is>
          <t>Makaó</t>
        </is>
      </c>
    </row>
    <row r="161">
      <c r="A161" t="inlineStr">
        <is>
          <t>rsz-011</t>
        </is>
      </c>
      <c r="B161" t="n">
        <v>16</v>
      </c>
      <c r="C161" t="inlineStr">
        <is>
          <t>Csapat</t>
        </is>
      </c>
    </row>
    <row r="162">
      <c r="A162" t="inlineStr">
        <is>
          <t>rsz-012</t>
        </is>
      </c>
      <c r="B162" t="n">
        <v>1</v>
      </c>
      <c r="C162" t="inlineStr">
        <is>
          <t>Gereblye</t>
        </is>
      </c>
    </row>
    <row r="163">
      <c r="A163" t="inlineStr">
        <is>
          <t>rsz-012</t>
        </is>
      </c>
      <c r="B163" t="n">
        <v>2</v>
      </c>
      <c r="C163" t="inlineStr">
        <is>
          <t>Harcsa</t>
        </is>
      </c>
    </row>
    <row r="164">
      <c r="A164" t="inlineStr">
        <is>
          <t>rsz-012</t>
        </is>
      </c>
      <c r="B164" t="n">
        <v>3</v>
      </c>
      <c r="C164" t="inlineStr">
        <is>
          <t>Vár</t>
        </is>
      </c>
    </row>
    <row r="165">
      <c r="A165" t="inlineStr">
        <is>
          <t>rsz-012</t>
        </is>
      </c>
      <c r="B165" t="n">
        <v>4</v>
      </c>
      <c r="C165" t="inlineStr">
        <is>
          <t>Fűrész</t>
        </is>
      </c>
    </row>
    <row r="166">
      <c r="A166" t="inlineStr">
        <is>
          <t>rsz-012</t>
        </is>
      </c>
      <c r="B166" t="n">
        <v>5</v>
      </c>
      <c r="C166" t="inlineStr">
        <is>
          <t>Ponty</t>
        </is>
      </c>
    </row>
    <row r="167">
      <c r="A167" t="inlineStr">
        <is>
          <t>rsz-012</t>
        </is>
      </c>
      <c r="B167" t="n">
        <v>6</v>
      </c>
      <c r="C167" t="inlineStr">
        <is>
          <t>Fésű</t>
        </is>
      </c>
    </row>
    <row r="168">
      <c r="A168" t="inlineStr">
        <is>
          <t>rsz-012</t>
        </is>
      </c>
      <c r="B168" t="n">
        <v>7</v>
      </c>
      <c r="C168" t="inlineStr">
        <is>
          <t>Csap</t>
        </is>
      </c>
    </row>
    <row r="169">
      <c r="A169" t="inlineStr">
        <is>
          <t>rsz-012</t>
        </is>
      </c>
      <c r="B169" t="n">
        <v>8</v>
      </c>
      <c r="C169" t="inlineStr">
        <is>
          <t>Fog</t>
        </is>
      </c>
    </row>
    <row r="170">
      <c r="A170" t="inlineStr">
        <is>
          <t>rsz-012</t>
        </is>
      </c>
      <c r="B170" t="n">
        <v>9</v>
      </c>
      <c r="C170" t="inlineStr">
        <is>
          <t>Oltó</t>
        </is>
      </c>
    </row>
    <row r="171">
      <c r="A171" t="inlineStr">
        <is>
          <t>rsz-012</t>
        </is>
      </c>
      <c r="B171" t="n">
        <v>10</v>
      </c>
      <c r="C171" t="inlineStr">
        <is>
          <t>Csuka</t>
        </is>
      </c>
    </row>
    <row r="172">
      <c r="A172" t="inlineStr">
        <is>
          <t>rsz-012</t>
        </is>
      </c>
      <c r="B172" t="n">
        <v>11</v>
      </c>
      <c r="C172" t="inlineStr">
        <is>
          <t>Fal</t>
        </is>
      </c>
    </row>
    <row r="173">
      <c r="A173" t="inlineStr">
        <is>
          <t>rsz-012</t>
        </is>
      </c>
      <c r="B173" t="n">
        <v>12</v>
      </c>
      <c r="C173" t="inlineStr">
        <is>
          <t>Keszeg</t>
        </is>
      </c>
    </row>
    <row r="174">
      <c r="A174" t="inlineStr">
        <is>
          <t>rsz-012</t>
        </is>
      </c>
      <c r="B174" t="n">
        <v>13</v>
      </c>
      <c r="C174" t="inlineStr">
        <is>
          <t>Cipzár</t>
        </is>
      </c>
    </row>
    <row r="175">
      <c r="A175" t="inlineStr">
        <is>
          <t>rsz-012</t>
        </is>
      </c>
      <c r="B175" t="n">
        <v>14</v>
      </c>
      <c r="C175" t="inlineStr">
        <is>
          <t>Ég</t>
        </is>
      </c>
    </row>
    <row r="176">
      <c r="A176" t="inlineStr">
        <is>
          <t>rsz-012</t>
        </is>
      </c>
      <c r="B176" t="n">
        <v>15</v>
      </c>
      <c r="C176" t="inlineStr">
        <is>
          <t>Nyúl</t>
        </is>
      </c>
    </row>
    <row r="177">
      <c r="A177" t="inlineStr">
        <is>
          <t>rsz-012</t>
        </is>
      </c>
      <c r="B177" t="n">
        <v>16</v>
      </c>
      <c r="C177" t="inlineStr">
        <is>
          <t>Veszély</t>
        </is>
      </c>
    </row>
    <row r="178">
      <c r="A178" t="inlineStr">
        <is>
          <t>rsz-013</t>
        </is>
      </c>
      <c r="B178" t="n">
        <v>1</v>
      </c>
      <c r="C178" t="inlineStr">
        <is>
          <t>Nemecsek</t>
        </is>
      </c>
    </row>
    <row r="179">
      <c r="A179" t="inlineStr">
        <is>
          <t>rsz-013</t>
        </is>
      </c>
      <c r="B179" t="n">
        <v>2</v>
      </c>
      <c r="C179" t="inlineStr">
        <is>
          <t>Icce</t>
        </is>
      </c>
    </row>
    <row r="180">
      <c r="A180" t="inlineStr">
        <is>
          <t>rsz-013</t>
        </is>
      </c>
      <c r="B180" t="n">
        <v>3</v>
      </c>
      <c r="C180" t="inlineStr">
        <is>
          <t>Akó</t>
        </is>
      </c>
    </row>
    <row r="181">
      <c r="A181" t="inlineStr">
        <is>
          <t>rsz-013</t>
        </is>
      </c>
      <c r="B181" t="n">
        <v>4</v>
      </c>
      <c r="C181" t="inlineStr">
        <is>
          <t>Hold</t>
        </is>
      </c>
    </row>
    <row r="182">
      <c r="A182" t="inlineStr">
        <is>
          <t>rsz-013</t>
        </is>
      </c>
      <c r="B182" t="n">
        <v>5</v>
      </c>
      <c r="C182" t="inlineStr">
        <is>
          <t>Kürtő</t>
        </is>
      </c>
    </row>
    <row r="183">
      <c r="A183" t="inlineStr">
        <is>
          <t>rsz-013</t>
        </is>
      </c>
      <c r="B183" t="n">
        <v>6</v>
      </c>
      <c r="C183" t="inlineStr">
        <is>
          <t>Öl</t>
        </is>
      </c>
    </row>
    <row r="184">
      <c r="A184" t="inlineStr">
        <is>
          <t>rsz-013</t>
        </is>
      </c>
      <c r="B184" t="n">
        <v>7</v>
      </c>
      <c r="C184" t="inlineStr">
        <is>
          <t>Eger</t>
        </is>
      </c>
    </row>
    <row r="185">
      <c r="A185" t="inlineStr">
        <is>
          <t>rsz-013</t>
        </is>
      </c>
      <c r="B185" t="n">
        <v>8</v>
      </c>
      <c r="C185" t="inlineStr">
        <is>
          <t>Áts</t>
        </is>
      </c>
    </row>
    <row r="186">
      <c r="A186" t="inlineStr">
        <is>
          <t>rsz-013</t>
        </is>
      </c>
      <c r="B186" t="n">
        <v>9</v>
      </c>
      <c r="C186" t="inlineStr">
        <is>
          <t>Lantos</t>
        </is>
      </c>
    </row>
    <row r="187">
      <c r="A187" t="inlineStr">
        <is>
          <t>rsz-013</t>
        </is>
      </c>
      <c r="B187" t="n">
        <v>10</v>
      </c>
      <c r="C187" t="inlineStr">
        <is>
          <t>Sípálya</t>
        </is>
      </c>
    </row>
    <row r="188">
      <c r="A188" t="inlineStr">
        <is>
          <t>rsz-013</t>
        </is>
      </c>
      <c r="B188" t="n">
        <v>11</v>
      </c>
      <c r="C188" t="inlineStr">
        <is>
          <t>Boka</t>
        </is>
      </c>
    </row>
    <row r="189">
      <c r="A189" t="inlineStr">
        <is>
          <t>rsz-013</t>
        </is>
      </c>
      <c r="B189" t="n">
        <v>12</v>
      </c>
      <c r="C189" t="inlineStr">
        <is>
          <t>Geréb</t>
        </is>
      </c>
    </row>
    <row r="190">
      <c r="A190" t="inlineStr">
        <is>
          <t>rsz-013</t>
        </is>
      </c>
      <c r="B190" t="n">
        <v>13</v>
      </c>
      <c r="C190" t="inlineStr">
        <is>
          <t>Szekszárd</t>
        </is>
      </c>
    </row>
    <row r="191">
      <c r="A191" t="inlineStr">
        <is>
          <t>rsz-013</t>
        </is>
      </c>
      <c r="B191" t="n">
        <v>14</v>
      </c>
      <c r="C191" t="inlineStr">
        <is>
          <t>Dobás</t>
        </is>
      </c>
    </row>
    <row r="192">
      <c r="A192" t="inlineStr">
        <is>
          <t>rsz-013</t>
        </is>
      </c>
      <c r="B192" t="n">
        <v>15</v>
      </c>
      <c r="C192" t="inlineStr">
        <is>
          <t>Villány</t>
        </is>
      </c>
    </row>
    <row r="193">
      <c r="A193" t="inlineStr">
        <is>
          <t>rsz-013</t>
        </is>
      </c>
      <c r="B193" t="n">
        <v>16</v>
      </c>
      <c r="C193" t="inlineStr">
        <is>
          <t>Tokaj</t>
        </is>
      </c>
    </row>
    <row r="194">
      <c r="A194" t="inlineStr">
        <is>
          <t>rsz-014</t>
        </is>
      </c>
      <c r="B194" t="n">
        <v>1</v>
      </c>
      <c r="C194" t="inlineStr">
        <is>
          <t>Traubi</t>
        </is>
      </c>
    </row>
    <row r="195">
      <c r="A195" t="inlineStr">
        <is>
          <t>rsz-014</t>
        </is>
      </c>
      <c r="B195" t="n">
        <v>2</v>
      </c>
      <c r="C195" t="inlineStr">
        <is>
          <t>Tű</t>
        </is>
      </c>
    </row>
    <row r="196">
      <c r="A196" t="inlineStr">
        <is>
          <t>rsz-014</t>
        </is>
      </c>
      <c r="B196" t="n">
        <v>3</v>
      </c>
      <c r="C196" t="inlineStr">
        <is>
          <t>Boci</t>
        </is>
      </c>
    </row>
    <row r="197">
      <c r="A197" t="inlineStr">
        <is>
          <t>rsz-014</t>
        </is>
      </c>
      <c r="B197" t="n">
        <v>4</v>
      </c>
      <c r="C197" t="inlineStr">
        <is>
          <t>Sistereg</t>
        </is>
      </c>
    </row>
    <row r="198">
      <c r="A198" t="inlineStr">
        <is>
          <t>rsz-014</t>
        </is>
      </c>
      <c r="B198" t="n">
        <v>5</v>
      </c>
      <c r="C198" t="inlineStr">
        <is>
          <t>Gombolyag</t>
        </is>
      </c>
    </row>
    <row r="199">
      <c r="A199" t="inlineStr">
        <is>
          <t>rsz-014</t>
        </is>
      </c>
      <c r="B199" t="n">
        <v>6</v>
      </c>
      <c r="C199" t="inlineStr">
        <is>
          <t>Takaros</t>
        </is>
      </c>
    </row>
    <row r="200">
      <c r="A200" t="inlineStr">
        <is>
          <t>rsz-014</t>
        </is>
      </c>
      <c r="B200" t="n">
        <v>7</v>
      </c>
      <c r="C200" t="inlineStr">
        <is>
          <t>Negro</t>
        </is>
      </c>
    </row>
    <row r="201">
      <c r="A201" t="inlineStr">
        <is>
          <t>rsz-014</t>
        </is>
      </c>
      <c r="B201" t="n">
        <v>8</v>
      </c>
      <c r="C201" t="inlineStr">
        <is>
          <t>Helyes</t>
        </is>
      </c>
    </row>
    <row r="202">
      <c r="A202" t="inlineStr">
        <is>
          <t>rsz-014</t>
        </is>
      </c>
      <c r="B202" t="n">
        <v>9</v>
      </c>
      <c r="C202" t="inlineStr">
        <is>
          <t>Izzik</t>
        </is>
      </c>
    </row>
    <row r="203">
      <c r="A203" t="inlineStr">
        <is>
          <t>rsz-014</t>
        </is>
      </c>
      <c r="B203" t="n">
        <v>10</v>
      </c>
      <c r="C203" t="inlineStr">
        <is>
          <t>Bájos</t>
        </is>
      </c>
    </row>
    <row r="204">
      <c r="A204" t="inlineStr">
        <is>
          <t>rsz-014</t>
        </is>
      </c>
      <c r="B204" t="n">
        <v>11</v>
      </c>
      <c r="C204" t="inlineStr">
        <is>
          <t>Lobog</t>
        </is>
      </c>
    </row>
    <row r="205">
      <c r="A205" t="inlineStr">
        <is>
          <t>rsz-014</t>
        </is>
      </c>
      <c r="B205" t="n">
        <v>12</v>
      </c>
      <c r="C205" t="inlineStr">
        <is>
          <t>Öltés</t>
        </is>
      </c>
    </row>
    <row r="206">
      <c r="A206" t="inlineStr">
        <is>
          <t>rsz-014</t>
        </is>
      </c>
      <c r="B206" t="n">
        <v>13</v>
      </c>
      <c r="C206" t="inlineStr">
        <is>
          <t>Csinos</t>
        </is>
      </c>
    </row>
    <row r="207">
      <c r="A207" t="inlineStr">
        <is>
          <t>rsz-014</t>
        </is>
      </c>
      <c r="B207" t="n">
        <v>14</v>
      </c>
      <c r="C207" t="inlineStr">
        <is>
          <t>Pattog</t>
        </is>
      </c>
    </row>
    <row r="208">
      <c r="A208" t="inlineStr">
        <is>
          <t>rsz-014</t>
        </is>
      </c>
      <c r="B208" t="n">
        <v>15</v>
      </c>
      <c r="C208" t="inlineStr">
        <is>
          <t>Szegély</t>
        </is>
      </c>
    </row>
    <row r="209">
      <c r="A209" t="inlineStr">
        <is>
          <t>rsz-014</t>
        </is>
      </c>
      <c r="B209" t="n">
        <v>16</v>
      </c>
      <c r="C209" t="inlineStr">
        <is>
          <t>Bambi</t>
        </is>
      </c>
    </row>
    <row r="210">
      <c r="A210" t="inlineStr">
        <is>
          <t>rsz-015</t>
        </is>
      </c>
      <c r="B210" t="n">
        <v>1</v>
      </c>
      <c r="C210" t="inlineStr">
        <is>
          <t>Emel</t>
        </is>
      </c>
    </row>
    <row r="211">
      <c r="A211" t="inlineStr">
        <is>
          <t>rsz-015</t>
        </is>
      </c>
      <c r="B211" t="n">
        <v>2</v>
      </c>
      <c r="C211" t="inlineStr">
        <is>
          <t>Tejföl</t>
        </is>
      </c>
    </row>
    <row r="212">
      <c r="A212" t="inlineStr">
        <is>
          <t>rsz-015</t>
        </is>
      </c>
      <c r="B212" t="n">
        <v>3</v>
      </c>
      <c r="C212" t="inlineStr">
        <is>
          <t>Vaj</t>
        </is>
      </c>
    </row>
    <row r="213">
      <c r="A213" t="inlineStr">
        <is>
          <t>rsz-015</t>
        </is>
      </c>
      <c r="B213" t="n">
        <v>4</v>
      </c>
      <c r="C213" t="inlineStr">
        <is>
          <t>Illés</t>
        </is>
      </c>
    </row>
    <row r="214">
      <c r="A214" t="inlineStr">
        <is>
          <t>rsz-015</t>
        </is>
      </c>
      <c r="B214" t="n">
        <v>5</v>
      </c>
      <c r="C214" t="inlineStr">
        <is>
          <t>Lila</t>
        </is>
      </c>
    </row>
    <row r="215">
      <c r="A215" t="inlineStr">
        <is>
          <t>rsz-015</t>
        </is>
      </c>
      <c r="B215" t="n">
        <v>6</v>
      </c>
      <c r="C215" t="inlineStr">
        <is>
          <t>Sás</t>
        </is>
      </c>
    </row>
    <row r="216">
      <c r="A216" t="inlineStr">
        <is>
          <t>rsz-015</t>
        </is>
      </c>
      <c r="B216" t="n">
        <v>7</v>
      </c>
      <c r="C216" t="inlineStr">
        <is>
          <t>Kassa</t>
        </is>
      </c>
    </row>
    <row r="217">
      <c r="A217" t="inlineStr">
        <is>
          <t>rsz-015</t>
        </is>
      </c>
      <c r="B217" t="n">
        <v>8</v>
      </c>
      <c r="C217" t="inlineStr">
        <is>
          <t>Hungária</t>
        </is>
      </c>
    </row>
    <row r="218">
      <c r="A218" t="inlineStr">
        <is>
          <t>rsz-015</t>
        </is>
      </c>
      <c r="B218" t="n">
        <v>9</v>
      </c>
      <c r="C218" t="inlineStr">
        <is>
          <t>Eger</t>
        </is>
      </c>
    </row>
    <row r="219">
      <c r="A219" t="inlineStr">
        <is>
          <t>rsz-015</t>
        </is>
      </c>
      <c r="B219" t="n">
        <v>10</v>
      </c>
      <c r="C219" t="inlineStr">
        <is>
          <t>Passzol</t>
        </is>
      </c>
    </row>
    <row r="220">
      <c r="A220" t="inlineStr">
        <is>
          <t>rsz-015</t>
        </is>
      </c>
      <c r="B220" t="n">
        <v>11</v>
      </c>
      <c r="C220" t="inlineStr">
        <is>
          <t>Túró</t>
        </is>
      </c>
    </row>
    <row r="221">
      <c r="A221" t="inlineStr">
        <is>
          <t>rsz-015</t>
        </is>
      </c>
      <c r="B221" t="n">
        <v>12</v>
      </c>
      <c r="C221" t="inlineStr">
        <is>
          <t>Kefir</t>
        </is>
      </c>
    </row>
    <row r="222">
      <c r="A222" t="inlineStr">
        <is>
          <t>rsz-015</t>
        </is>
      </c>
      <c r="B222" t="n">
        <v>13</v>
      </c>
      <c r="C222" t="inlineStr">
        <is>
          <t>Neoton</t>
        </is>
      </c>
    </row>
    <row r="223">
      <c r="A223" t="inlineStr">
        <is>
          <t>rsz-015</t>
        </is>
      </c>
      <c r="B223" t="n">
        <v>14</v>
      </c>
      <c r="C223" t="inlineStr">
        <is>
          <t>Üt</t>
        </is>
      </c>
    </row>
    <row r="224">
      <c r="A224" t="inlineStr">
        <is>
          <t>rsz-015</t>
        </is>
      </c>
      <c r="B224" t="n">
        <v>15</v>
      </c>
      <c r="C224" t="inlineStr">
        <is>
          <t>Oszt</t>
        </is>
      </c>
    </row>
    <row r="225">
      <c r="A225" t="inlineStr">
        <is>
          <t>rsz-015</t>
        </is>
      </c>
      <c r="B225" t="n">
        <v>16</v>
      </c>
      <c r="C225" t="inlineStr">
        <is>
          <t>Omega</t>
        </is>
      </c>
    </row>
    <row r="226">
      <c r="A226" t="inlineStr">
        <is>
          <t>rsz-016</t>
        </is>
      </c>
      <c r="B226" t="n">
        <v>1</v>
      </c>
      <c r="C226" t="inlineStr">
        <is>
          <t>Ólom</t>
        </is>
      </c>
    </row>
    <row r="227">
      <c r="A227" t="inlineStr">
        <is>
          <t>rsz-016</t>
        </is>
      </c>
      <c r="B227" t="n">
        <v>2</v>
      </c>
      <c r="C227" t="inlineStr">
        <is>
          <t>Dőre</t>
        </is>
      </c>
    </row>
    <row r="228">
      <c r="A228" t="inlineStr">
        <is>
          <t>rsz-016</t>
        </is>
      </c>
      <c r="B228" t="n">
        <v>3</v>
      </c>
      <c r="C228" t="inlineStr">
        <is>
          <t>Együgyű</t>
        </is>
      </c>
    </row>
    <row r="229">
      <c r="A229" t="inlineStr">
        <is>
          <t>rsz-016</t>
        </is>
      </c>
      <c r="B229" t="n">
        <v>4</v>
      </c>
      <c r="C229" t="inlineStr">
        <is>
          <t>Ostoba</t>
        </is>
      </c>
    </row>
    <row r="230">
      <c r="A230" t="inlineStr">
        <is>
          <t>rsz-016</t>
        </is>
      </c>
      <c r="B230" t="n">
        <v>5</v>
      </c>
      <c r="C230" t="inlineStr">
        <is>
          <t>Balga</t>
        </is>
      </c>
    </row>
    <row r="231">
      <c r="A231" t="inlineStr">
        <is>
          <t>rsz-016</t>
        </is>
      </c>
      <c r="B231" t="n">
        <v>6</v>
      </c>
      <c r="C231" t="inlineStr">
        <is>
          <t>Vízum</t>
        </is>
      </c>
    </row>
    <row r="232">
      <c r="A232" t="inlineStr">
        <is>
          <t>rsz-016</t>
        </is>
      </c>
      <c r="B232" t="n">
        <v>7</v>
      </c>
      <c r="C232" t="inlineStr">
        <is>
          <t>Úszó</t>
        </is>
      </c>
    </row>
    <row r="233">
      <c r="A233" t="inlineStr">
        <is>
          <t>rsz-016</t>
        </is>
      </c>
      <c r="B233" t="n">
        <v>8</v>
      </c>
      <c r="C233" t="inlineStr">
        <is>
          <t>Jackpot</t>
        </is>
      </c>
    </row>
    <row r="234">
      <c r="A234" t="inlineStr">
        <is>
          <t>rsz-016</t>
        </is>
      </c>
      <c r="B234" t="n">
        <v>9</v>
      </c>
      <c r="C234" t="inlineStr">
        <is>
          <t>Orsó</t>
        </is>
      </c>
    </row>
    <row r="235">
      <c r="A235" t="inlineStr">
        <is>
          <t>rsz-016</t>
        </is>
      </c>
      <c r="B235" t="n">
        <v>10</v>
      </c>
      <c r="C235" t="inlineStr">
        <is>
          <t>Tejút</t>
        </is>
      </c>
    </row>
    <row r="236">
      <c r="A236" t="inlineStr">
        <is>
          <t>rsz-016</t>
        </is>
      </c>
      <c r="B236" t="n">
        <v>11</v>
      </c>
      <c r="C236" t="inlineStr">
        <is>
          <t>Borotva</t>
        </is>
      </c>
    </row>
    <row r="237">
      <c r="A237" t="inlineStr">
        <is>
          <t>rsz-016</t>
        </is>
      </c>
      <c r="B237" t="n">
        <v>12</v>
      </c>
      <c r="C237" t="inlineStr">
        <is>
          <t>Sörény</t>
        </is>
      </c>
    </row>
    <row r="238">
      <c r="A238" t="inlineStr">
        <is>
          <t>rsz-016</t>
        </is>
      </c>
      <c r="B238" t="n">
        <v>13</v>
      </c>
      <c r="C238" t="inlineStr">
        <is>
          <t>Rulett</t>
        </is>
      </c>
    </row>
    <row r="239">
      <c r="A239" t="inlineStr">
        <is>
          <t>rsz-016</t>
        </is>
      </c>
      <c r="B239" t="n">
        <v>14</v>
      </c>
      <c r="C239" t="inlineStr">
        <is>
          <t>Zseton</t>
        </is>
      </c>
    </row>
    <row r="240">
      <c r="A240" t="inlineStr">
        <is>
          <t>rsz-016</t>
        </is>
      </c>
      <c r="B240" t="n">
        <v>15</v>
      </c>
      <c r="C240" t="inlineStr">
        <is>
          <t>Krupié</t>
        </is>
      </c>
    </row>
    <row r="241">
      <c r="A241" t="inlineStr">
        <is>
          <t>rsz-016</t>
        </is>
      </c>
      <c r="B241" t="n">
        <v>16</v>
      </c>
      <c r="C241" t="inlineStr">
        <is>
          <t>Csali</t>
        </is>
      </c>
    </row>
    <row r="242">
      <c r="A242" t="inlineStr">
        <is>
          <t>rsz-017</t>
        </is>
      </c>
      <c r="B242" t="n">
        <v>1</v>
      </c>
      <c r="C242" t="inlineStr">
        <is>
          <t>Százalék</t>
        </is>
      </c>
    </row>
    <row r="243">
      <c r="A243" t="inlineStr">
        <is>
          <t>rsz-017</t>
        </is>
      </c>
      <c r="B243" t="n">
        <v>2</v>
      </c>
      <c r="C243" t="inlineStr">
        <is>
          <t>Nanushka</t>
        </is>
      </c>
    </row>
    <row r="244">
      <c r="A244" t="inlineStr">
        <is>
          <t>rsz-017</t>
        </is>
      </c>
      <c r="B244" t="n">
        <v>3</v>
      </c>
      <c r="C244" t="inlineStr">
        <is>
          <t>Barion</t>
        </is>
      </c>
    </row>
    <row r="245">
      <c r="A245" t="inlineStr">
        <is>
          <t>rsz-017</t>
        </is>
      </c>
      <c r="B245" t="n">
        <v>4</v>
      </c>
      <c r="C245" t="inlineStr">
        <is>
          <t>Szivárog</t>
        </is>
      </c>
    </row>
    <row r="246">
      <c r="A246" t="inlineStr">
        <is>
          <t>rsz-017</t>
        </is>
      </c>
      <c r="B246" t="n">
        <v>5</v>
      </c>
      <c r="C246" t="inlineStr">
        <is>
          <t>Kankalin</t>
        </is>
      </c>
    </row>
    <row r="247">
      <c r="A247" t="inlineStr">
        <is>
          <t>rsz-017</t>
        </is>
      </c>
      <c r="B247" t="n">
        <v>6</v>
      </c>
      <c r="C247" t="inlineStr">
        <is>
          <t>Wizz</t>
        </is>
      </c>
    </row>
    <row r="248">
      <c r="A248" t="inlineStr">
        <is>
          <t>rsz-017</t>
        </is>
      </c>
      <c r="B248" t="n">
        <v>7</v>
      </c>
      <c r="C248" t="inlineStr">
        <is>
          <t>Zubog</t>
        </is>
      </c>
    </row>
    <row r="249">
      <c r="A249" t="inlineStr">
        <is>
          <t>rsz-017</t>
        </is>
      </c>
      <c r="B249" t="n">
        <v>8</v>
      </c>
      <c r="C249" t="inlineStr">
        <is>
          <t>Margaréta</t>
        </is>
      </c>
    </row>
    <row r="250">
      <c r="A250" t="inlineStr">
        <is>
          <t>rsz-017</t>
        </is>
      </c>
      <c r="B250" t="n">
        <v>9</v>
      </c>
      <c r="C250" t="inlineStr">
        <is>
          <t>Nefelejcs</t>
        </is>
      </c>
    </row>
    <row r="251">
      <c r="A251" t="inlineStr">
        <is>
          <t>rsz-017</t>
        </is>
      </c>
      <c r="B251" t="n">
        <v>10</v>
      </c>
      <c r="C251" t="inlineStr">
        <is>
          <t>Prezi</t>
        </is>
      </c>
    </row>
    <row r="252">
      <c r="A252" t="inlineStr">
        <is>
          <t>rsz-017</t>
        </is>
      </c>
      <c r="B252" t="n">
        <v>11</v>
      </c>
      <c r="C252" t="inlineStr">
        <is>
          <t>Pipacs</t>
        </is>
      </c>
    </row>
    <row r="253">
      <c r="A253" t="inlineStr">
        <is>
          <t>rsz-017</t>
        </is>
      </c>
      <c r="B253" t="n">
        <v>12</v>
      </c>
      <c r="C253" t="inlineStr">
        <is>
          <t>Hatás</t>
        </is>
      </c>
    </row>
    <row r="254">
      <c r="A254" t="inlineStr">
        <is>
          <t>rsz-017</t>
        </is>
      </c>
      <c r="B254" t="n">
        <v>13</v>
      </c>
      <c r="C254" t="inlineStr">
        <is>
          <t>Csordul</t>
        </is>
      </c>
    </row>
    <row r="255">
      <c r="A255" t="inlineStr">
        <is>
          <t>rsz-017</t>
        </is>
      </c>
      <c r="B255" t="n">
        <v>14</v>
      </c>
      <c r="C255" t="inlineStr">
        <is>
          <t>Csobog</t>
        </is>
      </c>
    </row>
    <row r="256">
      <c r="A256" t="inlineStr">
        <is>
          <t>rsz-017</t>
        </is>
      </c>
      <c r="B256" t="n">
        <v>15</v>
      </c>
      <c r="C256" t="inlineStr">
        <is>
          <t>Kétely</t>
        </is>
      </c>
    </row>
    <row r="257">
      <c r="A257" t="inlineStr">
        <is>
          <t>rsz-017</t>
        </is>
      </c>
      <c r="B257" t="n">
        <v>16</v>
      </c>
      <c r="C257" t="inlineStr">
        <is>
          <t>Ötlet</t>
        </is>
      </c>
    </row>
    <row r="258">
      <c r="A258" t="inlineStr">
        <is>
          <t>rsz-018</t>
        </is>
      </c>
      <c r="B258" t="n">
        <v>1</v>
      </c>
      <c r="C258" t="inlineStr">
        <is>
          <t>Cringe</t>
        </is>
      </c>
    </row>
    <row r="259">
      <c r="A259" t="inlineStr">
        <is>
          <t>rsz-018</t>
        </is>
      </c>
      <c r="B259" t="n">
        <v>2</v>
      </c>
      <c r="C259" t="inlineStr">
        <is>
          <t>Sül</t>
        </is>
      </c>
    </row>
    <row r="260">
      <c r="A260" t="inlineStr">
        <is>
          <t>rsz-018</t>
        </is>
      </c>
      <c r="B260" t="n">
        <v>3</v>
      </c>
      <c r="C260" t="inlineStr">
        <is>
          <t>Pihen</t>
        </is>
      </c>
    </row>
    <row r="261">
      <c r="A261" t="inlineStr">
        <is>
          <t>rsz-018</t>
        </is>
      </c>
      <c r="B261" t="n">
        <v>4</v>
      </c>
      <c r="C261" t="inlineStr">
        <is>
          <t>Szüret</t>
        </is>
      </c>
    </row>
    <row r="262">
      <c r="A262" t="inlineStr">
        <is>
          <t>rsz-018</t>
        </is>
      </c>
      <c r="B262" t="n">
        <v>5</v>
      </c>
      <c r="C262" t="inlineStr">
        <is>
          <t>Üveg</t>
        </is>
      </c>
    </row>
    <row r="263">
      <c r="A263" t="inlineStr">
        <is>
          <t>rsz-018</t>
        </is>
      </c>
      <c r="B263" t="n">
        <v>6</v>
      </c>
      <c r="C263" t="inlineStr">
        <is>
          <t>Majális</t>
        </is>
      </c>
    </row>
    <row r="264">
      <c r="A264" t="inlineStr">
        <is>
          <t>rsz-018</t>
        </is>
      </c>
      <c r="B264" t="n">
        <v>7</v>
      </c>
      <c r="C264" t="inlineStr">
        <is>
          <t>Búcsú</t>
        </is>
      </c>
    </row>
    <row r="265">
      <c r="A265" t="inlineStr">
        <is>
          <t>rsz-018</t>
        </is>
      </c>
      <c r="B265" t="n">
        <v>8</v>
      </c>
      <c r="C265" t="inlineStr">
        <is>
          <t>Kel</t>
        </is>
      </c>
    </row>
    <row r="266">
      <c r="A266" t="inlineStr">
        <is>
          <t>rsz-018</t>
        </is>
      </c>
      <c r="B266" t="n">
        <v>9</v>
      </c>
      <c r="C266" t="inlineStr">
        <is>
          <t>Kór</t>
        </is>
      </c>
    </row>
    <row r="267">
      <c r="A267" t="inlineStr">
        <is>
          <t>rsz-018</t>
        </is>
      </c>
      <c r="B267" t="n">
        <v>10</v>
      </c>
      <c r="C267" t="inlineStr">
        <is>
          <t>Dagaszt</t>
        </is>
      </c>
    </row>
    <row r="268">
      <c r="A268" t="inlineStr">
        <is>
          <t>rsz-018</t>
        </is>
      </c>
      <c r="B268" t="n">
        <v>11</v>
      </c>
      <c r="C268" t="inlineStr">
        <is>
          <t>Bér</t>
        </is>
      </c>
    </row>
    <row r="269">
      <c r="A269" t="inlineStr">
        <is>
          <t>rsz-018</t>
        </is>
      </c>
      <c r="B269" t="n">
        <v>12</v>
      </c>
      <c r="C269" t="inlineStr">
        <is>
          <t>Rizz</t>
        </is>
      </c>
    </row>
    <row r="270">
      <c r="A270" t="inlineStr">
        <is>
          <t>rsz-018</t>
        </is>
      </c>
      <c r="B270" t="n">
        <v>13</v>
      </c>
      <c r="C270" t="inlineStr">
        <is>
          <t>Farsang</t>
        </is>
      </c>
    </row>
    <row r="271">
      <c r="A271" t="inlineStr">
        <is>
          <t>rsz-018</t>
        </is>
      </c>
      <c r="B271" t="n">
        <v>14</v>
      </c>
      <c r="C271" t="inlineStr">
        <is>
          <t>Tár</t>
        </is>
      </c>
    </row>
    <row r="272">
      <c r="A272" t="inlineStr">
        <is>
          <t>rsz-018</t>
        </is>
      </c>
      <c r="B272" t="n">
        <v>15</v>
      </c>
      <c r="C272" t="inlineStr">
        <is>
          <t>Flex</t>
        </is>
      </c>
    </row>
    <row r="273">
      <c r="A273" t="inlineStr">
        <is>
          <t>rsz-018</t>
        </is>
      </c>
      <c r="B273" t="n">
        <v>16</v>
      </c>
      <c r="C273" t="inlineStr">
        <is>
          <t>Sigma</t>
        </is>
      </c>
    </row>
    <row r="274">
      <c r="A274" t="inlineStr">
        <is>
          <t>rsz-019</t>
        </is>
      </c>
      <c r="B274" t="n">
        <v>1</v>
      </c>
      <c r="C274" t="inlineStr">
        <is>
          <t>Dárdai</t>
        </is>
      </c>
    </row>
    <row r="275">
      <c r="A275" t="inlineStr">
        <is>
          <t>rsz-019</t>
        </is>
      </c>
      <c r="B275" t="n">
        <v>2</v>
      </c>
      <c r="C275" t="inlineStr">
        <is>
          <t>Fúró</t>
        </is>
      </c>
    </row>
    <row r="276">
      <c r="A276" t="inlineStr">
        <is>
          <t>rsz-019</t>
        </is>
      </c>
      <c r="B276" t="n">
        <v>3</v>
      </c>
      <c r="C276" t="inlineStr">
        <is>
          <t>Bőg</t>
        </is>
      </c>
    </row>
    <row r="277">
      <c r="A277" t="inlineStr">
        <is>
          <t>rsz-019</t>
        </is>
      </c>
      <c r="B277" t="n">
        <v>4</v>
      </c>
      <c r="C277" t="inlineStr">
        <is>
          <t>Nyerít</t>
        </is>
      </c>
    </row>
    <row r="278">
      <c r="A278" t="inlineStr">
        <is>
          <t>rsz-019</t>
        </is>
      </c>
      <c r="B278" t="n">
        <v>5</v>
      </c>
      <c r="C278" t="inlineStr">
        <is>
          <t>Almanach</t>
        </is>
      </c>
    </row>
    <row r="279">
      <c r="A279" t="inlineStr">
        <is>
          <t>rsz-019</t>
        </is>
      </c>
      <c r="B279" t="n">
        <v>6</v>
      </c>
      <c r="C279" t="inlineStr">
        <is>
          <t>Mekeg</t>
        </is>
      </c>
    </row>
    <row r="280">
      <c r="A280" t="inlineStr">
        <is>
          <t>rsz-019</t>
        </is>
      </c>
      <c r="B280" t="n">
        <v>7</v>
      </c>
      <c r="C280" t="inlineStr">
        <is>
          <t>Gyalu</t>
        </is>
      </c>
    </row>
    <row r="281">
      <c r="A281" t="inlineStr">
        <is>
          <t>rsz-019</t>
        </is>
      </c>
      <c r="B281" t="n">
        <v>8</v>
      </c>
      <c r="C281" t="inlineStr">
        <is>
          <t>Szederjes</t>
        </is>
      </c>
    </row>
    <row r="282">
      <c r="A282" t="inlineStr">
        <is>
          <t>rsz-019</t>
        </is>
      </c>
      <c r="B282" t="n">
        <v>9</v>
      </c>
      <c r="C282" t="inlineStr">
        <is>
          <t>Kerkez</t>
        </is>
      </c>
    </row>
    <row r="283">
      <c r="A283" t="inlineStr">
        <is>
          <t>rsz-019</t>
        </is>
      </c>
      <c r="B283" t="n">
        <v>10</v>
      </c>
      <c r="C283" t="inlineStr">
        <is>
          <t>Véső</t>
        </is>
      </c>
    </row>
    <row r="284">
      <c r="A284" t="inlineStr">
        <is>
          <t>rsz-019</t>
        </is>
      </c>
      <c r="B284" t="n">
        <v>11</v>
      </c>
      <c r="C284" t="inlineStr">
        <is>
          <t>Dibusz</t>
        </is>
      </c>
    </row>
    <row r="285">
      <c r="A285" t="inlineStr">
        <is>
          <t>rsz-019</t>
        </is>
      </c>
      <c r="B285" t="n">
        <v>12</v>
      </c>
      <c r="C285" t="inlineStr">
        <is>
          <t>Szoboszlai</t>
        </is>
      </c>
    </row>
    <row r="286">
      <c r="A286" t="inlineStr">
        <is>
          <t>rsz-019</t>
        </is>
      </c>
      <c r="B286" t="n">
        <v>13</v>
      </c>
      <c r="C286" t="inlineStr">
        <is>
          <t>Dióda</t>
        </is>
      </c>
    </row>
    <row r="287">
      <c r="A287" t="inlineStr">
        <is>
          <t>rsz-019</t>
        </is>
      </c>
      <c r="B287" t="n">
        <v>14</v>
      </c>
      <c r="C287" t="inlineStr">
        <is>
          <t>Reszelő</t>
        </is>
      </c>
    </row>
    <row r="288">
      <c r="A288" t="inlineStr">
        <is>
          <t>rsz-019</t>
        </is>
      </c>
      <c r="B288" t="n">
        <v>15</v>
      </c>
      <c r="C288" t="inlineStr">
        <is>
          <t>Gágog</t>
        </is>
      </c>
    </row>
    <row r="289">
      <c r="A289" t="inlineStr">
        <is>
          <t>rsz-019</t>
        </is>
      </c>
      <c r="B289" t="n">
        <v>16</v>
      </c>
      <c r="C289" t="inlineStr">
        <is>
          <t>Meggyőz</t>
        </is>
      </c>
    </row>
    <row r="290">
      <c r="A290" t="inlineStr">
        <is>
          <t>rsz-020</t>
        </is>
      </c>
      <c r="B290" t="n">
        <v>1</v>
      </c>
      <c r="C290" t="inlineStr">
        <is>
          <t>Toldi</t>
        </is>
      </c>
    </row>
    <row r="291">
      <c r="A291" t="inlineStr">
        <is>
          <t>rsz-020</t>
        </is>
      </c>
      <c r="B291" t="n">
        <v>2</v>
      </c>
      <c r="C291" t="inlineStr">
        <is>
          <t>Sebes</t>
        </is>
      </c>
    </row>
    <row r="292">
      <c r="A292" t="inlineStr">
        <is>
          <t>rsz-020</t>
        </is>
      </c>
      <c r="B292" t="n">
        <v>3</v>
      </c>
      <c r="C292" t="inlineStr">
        <is>
          <t>Meggy</t>
        </is>
      </c>
    </row>
    <row r="293">
      <c r="A293" t="inlineStr">
        <is>
          <t>rsz-020</t>
        </is>
      </c>
      <c r="B293" t="n">
        <v>4</v>
      </c>
      <c r="C293" t="inlineStr">
        <is>
          <t>Skarlát</t>
        </is>
      </c>
    </row>
    <row r="294">
      <c r="A294" t="inlineStr">
        <is>
          <t>rsz-020</t>
        </is>
      </c>
      <c r="B294" t="n">
        <v>5</v>
      </c>
      <c r="C294" t="inlineStr">
        <is>
          <t>Pilis</t>
        </is>
      </c>
    </row>
    <row r="295">
      <c r="A295" t="inlineStr">
        <is>
          <t>rsz-020</t>
        </is>
      </c>
      <c r="B295" t="n">
        <v>6</v>
      </c>
      <c r="C295" t="inlineStr">
        <is>
          <t>Bogáncs</t>
        </is>
      </c>
    </row>
    <row r="296">
      <c r="A296" t="inlineStr">
        <is>
          <t>rsz-020</t>
        </is>
      </c>
      <c r="B296" t="n">
        <v>7</v>
      </c>
      <c r="C296" t="inlineStr">
        <is>
          <t>Szapora</t>
        </is>
      </c>
    </row>
    <row r="297">
      <c r="A297" t="inlineStr">
        <is>
          <t>rsz-020</t>
        </is>
      </c>
      <c r="B297" t="n">
        <v>8</v>
      </c>
      <c r="C297" t="inlineStr">
        <is>
          <t>Tüskevár</t>
        </is>
      </c>
    </row>
    <row r="298">
      <c r="A298" t="inlineStr">
        <is>
          <t>rsz-020</t>
        </is>
      </c>
      <c r="B298" t="n">
        <v>9</v>
      </c>
      <c r="C298" t="inlineStr">
        <is>
          <t>Bordó</t>
        </is>
      </c>
    </row>
    <row r="299">
      <c r="A299" t="inlineStr">
        <is>
          <t>rsz-020</t>
        </is>
      </c>
      <c r="B299" t="n">
        <v>10</v>
      </c>
      <c r="C299" t="inlineStr">
        <is>
          <t>Fürge</t>
        </is>
      </c>
    </row>
    <row r="300">
      <c r="A300" t="inlineStr">
        <is>
          <t>rsz-020</t>
        </is>
      </c>
      <c r="B300" t="n">
        <v>11</v>
      </c>
      <c r="C300" t="inlineStr">
        <is>
          <t>Mecsek</t>
        </is>
      </c>
    </row>
    <row r="301">
      <c r="A301" t="inlineStr">
        <is>
          <t>rsz-020</t>
        </is>
      </c>
      <c r="B301" t="n">
        <v>12</v>
      </c>
      <c r="C301" t="inlineStr">
        <is>
          <t>Mátra</t>
        </is>
      </c>
    </row>
    <row r="302">
      <c r="A302" t="inlineStr">
        <is>
          <t>rsz-020</t>
        </is>
      </c>
      <c r="B302" t="n">
        <v>13</v>
      </c>
      <c r="C302" t="inlineStr">
        <is>
          <t>Rőt</t>
        </is>
      </c>
    </row>
    <row r="303">
      <c r="A303" t="inlineStr">
        <is>
          <t>rsz-020</t>
        </is>
      </c>
      <c r="B303" t="n">
        <v>14</v>
      </c>
      <c r="C303" t="inlineStr">
        <is>
          <t>Abigél</t>
        </is>
      </c>
    </row>
    <row r="304">
      <c r="A304" t="inlineStr">
        <is>
          <t>rsz-020</t>
        </is>
      </c>
      <c r="B304" t="n">
        <v>15</v>
      </c>
      <c r="C304" t="inlineStr">
        <is>
          <t>Serény</t>
        </is>
      </c>
    </row>
    <row r="305">
      <c r="A305" t="inlineStr">
        <is>
          <t>rsz-020</t>
        </is>
      </c>
      <c r="B305" t="n">
        <v>16</v>
      </c>
      <c r="C305" t="inlineStr">
        <is>
          <t>Bükk</t>
        </is>
      </c>
    </row>
    <row r="306">
      <c r="A306" t="inlineStr">
        <is>
          <t>rsz-021</t>
        </is>
      </c>
      <c r="B306" t="n">
        <v>1</v>
      </c>
      <c r="C306" t="inlineStr">
        <is>
          <t>Temérdek</t>
        </is>
      </c>
    </row>
    <row r="307">
      <c r="A307" t="inlineStr">
        <is>
          <t>rsz-021</t>
        </is>
      </c>
      <c r="B307" t="n">
        <v>2</v>
      </c>
      <c r="C307" t="inlineStr">
        <is>
          <t>Fülke</t>
        </is>
      </c>
    </row>
    <row r="308">
      <c r="A308" t="inlineStr">
        <is>
          <t>rsz-021</t>
        </is>
      </c>
      <c r="B308" t="n">
        <v>3</v>
      </c>
      <c r="C308" t="inlineStr">
        <is>
          <t>Hasáb</t>
        </is>
      </c>
    </row>
    <row r="309">
      <c r="A309" t="inlineStr">
        <is>
          <t>rsz-021</t>
        </is>
      </c>
      <c r="B309" t="n">
        <v>4</v>
      </c>
      <c r="C309" t="inlineStr">
        <is>
          <t>Opál</t>
        </is>
      </c>
    </row>
    <row r="310">
      <c r="A310" t="inlineStr">
        <is>
          <t>rsz-021</t>
        </is>
      </c>
      <c r="B310" t="n">
        <v>5</v>
      </c>
      <c r="C310" t="inlineStr">
        <is>
          <t>Rengeteg</t>
        </is>
      </c>
    </row>
    <row r="311">
      <c r="A311" t="inlineStr">
        <is>
          <t>rsz-021</t>
        </is>
      </c>
      <c r="B311" t="n">
        <v>6</v>
      </c>
      <c r="C311" t="inlineStr">
        <is>
          <t>Radír</t>
        </is>
      </c>
    </row>
    <row r="312">
      <c r="A312" t="inlineStr">
        <is>
          <t>rsz-021</t>
        </is>
      </c>
      <c r="B312" t="n">
        <v>7</v>
      </c>
      <c r="C312" t="inlineStr">
        <is>
          <t>Garmada</t>
        </is>
      </c>
    </row>
    <row r="313">
      <c r="A313" t="inlineStr">
        <is>
          <t>rsz-021</t>
        </is>
      </c>
      <c r="B313" t="n">
        <v>8</v>
      </c>
      <c r="C313" t="inlineStr">
        <is>
          <t>Szemét</t>
        </is>
      </c>
    </row>
    <row r="314">
      <c r="A314" t="inlineStr">
        <is>
          <t>rsz-021</t>
        </is>
      </c>
      <c r="B314" t="n">
        <v>9</v>
      </c>
      <c r="C314" t="inlineStr">
        <is>
          <t>Számtalan</t>
        </is>
      </c>
    </row>
    <row r="315">
      <c r="A315" t="inlineStr">
        <is>
          <t>rsz-021</t>
        </is>
      </c>
      <c r="B315" t="n">
        <v>10</v>
      </c>
      <c r="C315" t="inlineStr">
        <is>
          <t>Jáspis</t>
        </is>
      </c>
    </row>
    <row r="316">
      <c r="A316" t="inlineStr">
        <is>
          <t>rsz-021</t>
        </is>
      </c>
      <c r="B316" t="n">
        <v>11</v>
      </c>
      <c r="C316" t="inlineStr">
        <is>
          <t>Karácsony</t>
        </is>
      </c>
    </row>
    <row r="317">
      <c r="A317" t="inlineStr">
        <is>
          <t>rsz-021</t>
        </is>
      </c>
      <c r="B317" t="n">
        <v>12</v>
      </c>
      <c r="C317" t="inlineStr">
        <is>
          <t>Borostyán</t>
        </is>
      </c>
    </row>
    <row r="318">
      <c r="A318" t="inlineStr">
        <is>
          <t>rsz-021</t>
        </is>
      </c>
      <c r="B318" t="n">
        <v>13</v>
      </c>
      <c r="C318" t="inlineStr">
        <is>
          <t>Vonalzó</t>
        </is>
      </c>
    </row>
    <row r="319">
      <c r="A319" t="inlineStr">
        <is>
          <t>rsz-021</t>
        </is>
      </c>
      <c r="B319" t="n">
        <v>14</v>
      </c>
      <c r="C319" t="inlineStr">
        <is>
          <t>Filctoll</t>
        </is>
      </c>
    </row>
    <row r="320">
      <c r="A320" t="inlineStr">
        <is>
          <t>rsz-021</t>
        </is>
      </c>
      <c r="B320" t="n">
        <v>15</v>
      </c>
      <c r="C320" t="inlineStr">
        <is>
          <t>Ametiszt</t>
        </is>
      </c>
    </row>
    <row r="321">
      <c r="A321" t="inlineStr">
        <is>
          <t>rsz-021</t>
        </is>
      </c>
      <c r="B321" t="n">
        <v>16</v>
      </c>
      <c r="C321" t="inlineStr">
        <is>
          <t>Hegyező</t>
        </is>
      </c>
    </row>
    <row r="322">
      <c r="A322" t="inlineStr">
        <is>
          <t>rsz-022</t>
        </is>
      </c>
      <c r="B322" t="n">
        <v>1</v>
      </c>
      <c r="C322" t="inlineStr">
        <is>
          <t>Ültet</t>
        </is>
      </c>
    </row>
    <row r="323">
      <c r="A323" t="inlineStr">
        <is>
          <t>rsz-022</t>
        </is>
      </c>
      <c r="B323" t="n">
        <v>2</v>
      </c>
      <c r="C323" t="inlineStr">
        <is>
          <t>Sós</t>
        </is>
      </c>
    </row>
    <row r="324">
      <c r="A324" t="inlineStr">
        <is>
          <t>rsz-022</t>
        </is>
      </c>
      <c r="B324" t="n">
        <v>3</v>
      </c>
      <c r="C324" t="inlineStr">
        <is>
          <t>Gyomlál</t>
        </is>
      </c>
    </row>
    <row r="325">
      <c r="A325" t="inlineStr">
        <is>
          <t>rsz-022</t>
        </is>
      </c>
      <c r="B325" t="n">
        <v>4</v>
      </c>
      <c r="C325" t="inlineStr">
        <is>
          <t>Siklós</t>
        </is>
      </c>
    </row>
    <row r="326">
      <c r="A326" t="inlineStr">
        <is>
          <t>rsz-022</t>
        </is>
      </c>
      <c r="B326" t="n">
        <v>5</v>
      </c>
      <c r="C326" t="inlineStr">
        <is>
          <t>Sümeg</t>
        </is>
      </c>
    </row>
    <row r="327">
      <c r="A327" t="inlineStr">
        <is>
          <t>rsz-022</t>
        </is>
      </c>
      <c r="B327" t="n">
        <v>6</v>
      </c>
      <c r="C327" t="inlineStr">
        <is>
          <t>Bíró</t>
        </is>
      </c>
    </row>
    <row r="328">
      <c r="A328" t="inlineStr">
        <is>
          <t>rsz-022</t>
        </is>
      </c>
      <c r="B328" t="n">
        <v>7</v>
      </c>
      <c r="C328" t="inlineStr">
        <is>
          <t>Metsz</t>
        </is>
      </c>
    </row>
    <row r="329">
      <c r="A329" t="inlineStr">
        <is>
          <t>rsz-022</t>
        </is>
      </c>
      <c r="B329" t="n">
        <v>8</v>
      </c>
      <c r="C329" t="inlineStr">
        <is>
          <t>Ponty</t>
        </is>
      </c>
    </row>
    <row r="330">
      <c r="A330" t="inlineStr">
        <is>
          <t>rsz-022</t>
        </is>
      </c>
      <c r="B330" t="n">
        <v>9</v>
      </c>
      <c r="C330" t="inlineStr">
        <is>
          <t>Diósgyőr</t>
        </is>
      </c>
    </row>
    <row r="331">
      <c r="A331" t="inlineStr">
        <is>
          <t>rsz-022</t>
        </is>
      </c>
      <c r="B331" t="n">
        <v>10</v>
      </c>
      <c r="C331" t="inlineStr">
        <is>
          <t>Öntöz</t>
        </is>
      </c>
    </row>
    <row r="332">
      <c r="A332" t="inlineStr">
        <is>
          <t>rsz-022</t>
        </is>
      </c>
      <c r="B332" t="n">
        <v>11</v>
      </c>
      <c r="C332" t="inlineStr">
        <is>
          <t>Jedlik</t>
        </is>
      </c>
    </row>
    <row r="333">
      <c r="A333" t="inlineStr">
        <is>
          <t>rsz-022</t>
        </is>
      </c>
      <c r="B333" t="n">
        <v>12</v>
      </c>
      <c r="C333" t="inlineStr">
        <is>
          <t>Kandó</t>
        </is>
      </c>
    </row>
    <row r="334">
      <c r="A334" t="inlineStr">
        <is>
          <t>rsz-022</t>
        </is>
      </c>
      <c r="B334" t="n">
        <v>13</v>
      </c>
      <c r="C334" t="inlineStr">
        <is>
          <t>Gálya</t>
        </is>
      </c>
    </row>
    <row r="335">
      <c r="A335" t="inlineStr">
        <is>
          <t>rsz-022</t>
        </is>
      </c>
      <c r="B335" t="n">
        <v>14</v>
      </c>
      <c r="C335" t="inlineStr">
        <is>
          <t>Rubik</t>
        </is>
      </c>
    </row>
    <row r="336">
      <c r="A336" t="inlineStr">
        <is>
          <t>rsz-022</t>
        </is>
      </c>
      <c r="B336" t="n">
        <v>15</v>
      </c>
      <c r="C336" t="inlineStr">
        <is>
          <t>Füzér</t>
        </is>
      </c>
    </row>
    <row r="337">
      <c r="A337" t="inlineStr">
        <is>
          <t>rsz-022</t>
        </is>
      </c>
      <c r="B337" t="n">
        <v>16</v>
      </c>
      <c r="C337" t="inlineStr">
        <is>
          <t>Verés</t>
        </is>
      </c>
    </row>
    <row r="338">
      <c r="A338" t="inlineStr">
        <is>
          <t>rsz-023</t>
        </is>
      </c>
      <c r="B338" t="n">
        <v>1</v>
      </c>
      <c r="C338" t="inlineStr">
        <is>
          <t>Hajdúság</t>
        </is>
      </c>
    </row>
    <row r="339">
      <c r="A339" t="inlineStr">
        <is>
          <t>rsz-023</t>
        </is>
      </c>
      <c r="B339" t="n">
        <v>2</v>
      </c>
      <c r="C339" t="inlineStr">
        <is>
          <t>Nyírség</t>
        </is>
      </c>
    </row>
    <row r="340">
      <c r="A340" t="inlineStr">
        <is>
          <t>rsz-023</t>
        </is>
      </c>
      <c r="B340" t="n">
        <v>3</v>
      </c>
      <c r="C340" t="inlineStr">
        <is>
          <t>Tekerő</t>
        </is>
      </c>
    </row>
    <row r="341">
      <c r="A341" t="inlineStr">
        <is>
          <t>rsz-023</t>
        </is>
      </c>
      <c r="B341" t="n">
        <v>4</v>
      </c>
      <c r="C341" t="inlineStr">
        <is>
          <t>Borzaszt</t>
        </is>
      </c>
    </row>
    <row r="342">
      <c r="A342" t="inlineStr">
        <is>
          <t>rsz-023</t>
        </is>
      </c>
      <c r="B342" t="n">
        <v>5</v>
      </c>
      <c r="C342" t="inlineStr">
        <is>
          <t>Kosár</t>
        </is>
      </c>
    </row>
    <row r="343">
      <c r="A343" t="inlineStr">
        <is>
          <t>rsz-023</t>
        </is>
      </c>
      <c r="B343" t="n">
        <v>6</v>
      </c>
      <c r="C343" t="inlineStr">
        <is>
          <t>Doromb</t>
        </is>
      </c>
    </row>
    <row r="344">
      <c r="A344" t="inlineStr">
        <is>
          <t>rsz-023</t>
        </is>
      </c>
      <c r="B344" t="n">
        <v>7</v>
      </c>
      <c r="C344" t="inlineStr">
        <is>
          <t>Rákattan</t>
        </is>
      </c>
    </row>
    <row r="345">
      <c r="A345" t="inlineStr">
        <is>
          <t>rsz-023</t>
        </is>
      </c>
      <c r="B345" t="n">
        <v>8</v>
      </c>
      <c r="C345" t="inlineStr">
        <is>
          <t>Kiskunság</t>
        </is>
      </c>
    </row>
    <row r="346">
      <c r="A346" t="inlineStr">
        <is>
          <t>rsz-023</t>
        </is>
      </c>
      <c r="B346" t="n">
        <v>9</v>
      </c>
      <c r="C346" t="inlineStr">
        <is>
          <t>Nyúzott</t>
        </is>
      </c>
    </row>
    <row r="347">
      <c r="A347" t="inlineStr">
        <is>
          <t>rsz-023</t>
        </is>
      </c>
      <c r="B347" t="n">
        <v>10</v>
      </c>
      <c r="C347" t="inlineStr">
        <is>
          <t>Sasszé</t>
        </is>
      </c>
    </row>
    <row r="348">
      <c r="A348" t="inlineStr">
        <is>
          <t>rsz-023</t>
        </is>
      </c>
      <c r="B348" t="n">
        <v>11</v>
      </c>
      <c r="C348" t="inlineStr">
        <is>
          <t>Citera</t>
        </is>
      </c>
    </row>
    <row r="349">
      <c r="A349" t="inlineStr">
        <is>
          <t>rsz-023</t>
        </is>
      </c>
      <c r="B349" t="n">
        <v>12</v>
      </c>
      <c r="C349" t="inlineStr">
        <is>
          <t>Bágyadt</t>
        </is>
      </c>
    </row>
    <row r="350">
      <c r="A350" t="inlineStr">
        <is>
          <t>rsz-023</t>
        </is>
      </c>
      <c r="B350" t="n">
        <v>13</v>
      </c>
      <c r="C350" t="inlineStr">
        <is>
          <t>Furulya</t>
        </is>
      </c>
    </row>
    <row r="351">
      <c r="A351" t="inlineStr">
        <is>
          <t>rsz-023</t>
        </is>
      </c>
      <c r="B351" t="n">
        <v>14</v>
      </c>
      <c r="C351" t="inlineStr">
        <is>
          <t>Törődött</t>
        </is>
      </c>
    </row>
    <row r="352">
      <c r="A352" t="inlineStr">
        <is>
          <t>rsz-023</t>
        </is>
      </c>
      <c r="B352" t="n">
        <v>15</v>
      </c>
      <c r="C352" t="inlineStr">
        <is>
          <t>Hortobágy</t>
        </is>
      </c>
    </row>
    <row r="353">
      <c r="A353" t="inlineStr">
        <is>
          <t>rsz-023</t>
        </is>
      </c>
      <c r="B353" t="n">
        <v>16</v>
      </c>
      <c r="C353" t="inlineStr">
        <is>
          <t>Kimerült</t>
        </is>
      </c>
    </row>
    <row r="354">
      <c r="A354" t="inlineStr">
        <is>
          <t>rsz-024</t>
        </is>
      </c>
      <c r="B354" t="n">
        <v>1</v>
      </c>
      <c r="C354" t="inlineStr">
        <is>
          <t>Kínál</t>
        </is>
      </c>
    </row>
    <row r="355">
      <c r="A355" t="inlineStr">
        <is>
          <t>rsz-024</t>
        </is>
      </c>
      <c r="B355" t="n">
        <v>2</v>
      </c>
      <c r="C355" t="inlineStr">
        <is>
          <t>Zúg</t>
        </is>
      </c>
    </row>
    <row r="356">
      <c r="A356" t="inlineStr">
        <is>
          <t>rsz-024</t>
        </is>
      </c>
      <c r="B356" t="n">
        <v>3</v>
      </c>
      <c r="C356" t="inlineStr">
        <is>
          <t>Padlizsán</t>
        </is>
      </c>
    </row>
    <row r="357">
      <c r="A357" t="inlineStr">
        <is>
          <t>rsz-024</t>
        </is>
      </c>
      <c r="B357" t="n">
        <v>4</v>
      </c>
      <c r="C357" t="inlineStr">
        <is>
          <t>Románc</t>
        </is>
      </c>
    </row>
    <row r="358">
      <c r="A358" t="inlineStr">
        <is>
          <t>rsz-024</t>
        </is>
      </c>
      <c r="B358" t="n">
        <v>5</v>
      </c>
      <c r="C358" t="inlineStr">
        <is>
          <t>Cékla</t>
        </is>
      </c>
    </row>
    <row r="359">
      <c r="A359" t="inlineStr">
        <is>
          <t>rsz-024</t>
        </is>
      </c>
      <c r="B359" t="n">
        <v>6</v>
      </c>
      <c r="C359" t="inlineStr">
        <is>
          <t>Gerenda</t>
        </is>
      </c>
    </row>
    <row r="360">
      <c r="A360" t="inlineStr">
        <is>
          <t>rsz-024</t>
        </is>
      </c>
      <c r="B360" t="n">
        <v>7</v>
      </c>
      <c r="C360" t="inlineStr">
        <is>
          <t>Fütyül</t>
        </is>
      </c>
    </row>
    <row r="361">
      <c r="A361" t="inlineStr">
        <is>
          <t>rsz-024</t>
        </is>
      </c>
      <c r="B361" t="n">
        <v>8</v>
      </c>
      <c r="C361" t="inlineStr">
        <is>
          <t>Lom</t>
        </is>
      </c>
    </row>
    <row r="362">
      <c r="A362" t="inlineStr">
        <is>
          <t>rsz-024</t>
        </is>
      </c>
      <c r="B362" t="n">
        <v>9</v>
      </c>
      <c r="C362" t="inlineStr">
        <is>
          <t>Indián</t>
        </is>
      </c>
    </row>
    <row r="363">
      <c r="A363" t="inlineStr">
        <is>
          <t>rsz-024</t>
        </is>
      </c>
      <c r="B363" t="n">
        <v>10</v>
      </c>
      <c r="C363" t="inlineStr">
        <is>
          <t>Láda</t>
        </is>
      </c>
    </row>
    <row r="364">
      <c r="A364" t="inlineStr">
        <is>
          <t>rsz-024</t>
        </is>
      </c>
      <c r="B364" t="n">
        <v>11</v>
      </c>
      <c r="C364" t="inlineStr">
        <is>
          <t>Kirándul</t>
        </is>
      </c>
    </row>
    <row r="365">
      <c r="A365" t="inlineStr">
        <is>
          <t>rsz-024</t>
        </is>
      </c>
      <c r="B365" t="n">
        <v>12</v>
      </c>
      <c r="C365" t="inlineStr">
        <is>
          <t>Retek</t>
        </is>
      </c>
    </row>
    <row r="366">
      <c r="A366" t="inlineStr">
        <is>
          <t>rsz-024</t>
        </is>
      </c>
      <c r="B366" t="n">
        <v>13</v>
      </c>
      <c r="C366" t="inlineStr">
        <is>
          <t>Süvít</t>
        </is>
      </c>
    </row>
    <row r="367">
      <c r="A367" t="inlineStr">
        <is>
          <t>rsz-024</t>
        </is>
      </c>
      <c r="B367" t="n">
        <v>14</v>
      </c>
      <c r="C367" t="inlineStr">
        <is>
          <t>Tombol</t>
        </is>
      </c>
    </row>
    <row r="368">
      <c r="A368" t="inlineStr">
        <is>
          <t>rsz-024</t>
        </is>
      </c>
      <c r="B368" t="n">
        <v>15</v>
      </c>
      <c r="C368" t="inlineStr">
        <is>
          <t>Karalábé</t>
        </is>
      </c>
    </row>
    <row r="369">
      <c r="A369" t="inlineStr">
        <is>
          <t>rsz-024</t>
        </is>
      </c>
      <c r="B369" t="n">
        <v>16</v>
      </c>
      <c r="C369" t="inlineStr">
        <is>
          <t>Pókháló</t>
        </is>
      </c>
    </row>
    <row r="370">
      <c r="A370" t="inlineStr">
        <is>
          <t>rsz-001</t>
        </is>
      </c>
      <c r="B370" t="n">
        <v>1</v>
      </c>
      <c r="C370" t="inlineStr">
        <is>
          <t>Kód</t>
        </is>
      </c>
    </row>
    <row r="371">
      <c r="A371" t="inlineStr">
        <is>
          <t>rsz-001</t>
        </is>
      </c>
      <c r="B371" t="n">
        <v>2</v>
      </c>
      <c r="C371" t="inlineStr">
        <is>
          <t>Jég</t>
        </is>
      </c>
    </row>
    <row r="372">
      <c r="A372" t="inlineStr">
        <is>
          <t>rsz-001</t>
        </is>
      </c>
      <c r="B372" t="n">
        <v>3</v>
      </c>
      <c r="C372" t="inlineStr">
        <is>
          <t>Gömb</t>
        </is>
      </c>
    </row>
    <row r="373">
      <c r="A373" t="inlineStr">
        <is>
          <t>rsz-001</t>
        </is>
      </c>
      <c r="B373" t="n">
        <v>4</v>
      </c>
      <c r="C373" t="inlineStr">
        <is>
          <t>Vasaló</t>
        </is>
      </c>
    </row>
    <row r="374">
      <c r="A374" t="inlineStr">
        <is>
          <t>rsz-001</t>
        </is>
      </c>
      <c r="B374" t="n">
        <v>5</v>
      </c>
      <c r="C374" t="inlineStr">
        <is>
          <t>Égősor</t>
        </is>
      </c>
    </row>
    <row r="375">
      <c r="A375" t="inlineStr">
        <is>
          <t>rsz-001</t>
        </is>
      </c>
      <c r="B375" t="n">
        <v>6</v>
      </c>
      <c r="C375" t="inlineStr">
        <is>
          <t>Duda</t>
        </is>
      </c>
    </row>
    <row r="376">
      <c r="A376" t="inlineStr">
        <is>
          <t>rsz-001</t>
        </is>
      </c>
      <c r="B376" t="n">
        <v>7</v>
      </c>
      <c r="C376" t="inlineStr">
        <is>
          <t>Légpuska</t>
        </is>
      </c>
    </row>
    <row r="377">
      <c r="A377" t="inlineStr">
        <is>
          <t>rsz-001</t>
        </is>
      </c>
      <c r="B377" t="n">
        <v>8</v>
      </c>
      <c r="C377" t="inlineStr">
        <is>
          <t>Dió</t>
        </is>
      </c>
    </row>
    <row r="378">
      <c r="A378" t="inlineStr">
        <is>
          <t>rsz-001</t>
        </is>
      </c>
      <c r="B378" t="n">
        <v>9</v>
      </c>
      <c r="C378" t="inlineStr">
        <is>
          <t>Festék</t>
        </is>
      </c>
    </row>
    <row r="379">
      <c r="A379" t="inlineStr">
        <is>
          <t>rsz-001</t>
        </is>
      </c>
      <c r="B379" t="n">
        <v>10</v>
      </c>
      <c r="C379" t="inlineStr">
        <is>
          <t>Dob</t>
        </is>
      </c>
    </row>
    <row r="380">
      <c r="A380" t="inlineStr">
        <is>
          <t>rsz-001</t>
        </is>
      </c>
      <c r="B380" t="n">
        <v>11</v>
      </c>
      <c r="C380" t="inlineStr">
        <is>
          <t>Kürt</t>
        </is>
      </c>
    </row>
    <row r="381">
      <c r="A381" t="inlineStr">
        <is>
          <t>rsz-001</t>
        </is>
      </c>
      <c r="B381" t="n">
        <v>12</v>
      </c>
      <c r="C381" t="inlineStr">
        <is>
          <t>Csillag</t>
        </is>
      </c>
    </row>
    <row r="382">
      <c r="A382" t="inlineStr">
        <is>
          <t>rsz-001</t>
        </is>
      </c>
      <c r="B382" t="n">
        <v>13</v>
      </c>
      <c r="C382" t="inlineStr">
        <is>
          <t>Orgona</t>
        </is>
      </c>
    </row>
    <row r="383">
      <c r="A383" t="inlineStr">
        <is>
          <t>rsz-001</t>
        </is>
      </c>
      <c r="B383" t="n">
        <v>14</v>
      </c>
      <c r="C383" t="inlineStr">
        <is>
          <t>Angyalhaj</t>
        </is>
      </c>
    </row>
    <row r="384">
      <c r="A384" t="inlineStr">
        <is>
          <t>rsz-001</t>
        </is>
      </c>
      <c r="B384" t="n">
        <v>15</v>
      </c>
      <c r="C384" t="inlineStr">
        <is>
          <t>Széf</t>
        </is>
      </c>
    </row>
    <row r="385">
      <c r="A385" t="inlineStr">
        <is>
          <t>rsz-001</t>
        </is>
      </c>
      <c r="B385" t="n">
        <v>16</v>
      </c>
      <c r="C385" t="inlineStr">
        <is>
          <t>Tarantula</t>
        </is>
      </c>
    </row>
    <row r="386">
      <c r="A386" t="inlineStr">
        <is>
          <t>rsz-025</t>
        </is>
      </c>
      <c r="B386" t="n">
        <v>1</v>
      </c>
      <c r="C386" t="inlineStr">
        <is>
          <t>Golyóstoll</t>
        </is>
      </c>
    </row>
    <row r="387">
      <c r="A387" t="inlineStr">
        <is>
          <t>rsz-025</t>
        </is>
      </c>
      <c r="B387" t="n">
        <v>2</v>
      </c>
      <c r="C387" t="inlineStr">
        <is>
          <t>Szám</t>
        </is>
      </c>
    </row>
    <row r="388">
      <c r="A388" t="inlineStr">
        <is>
          <t>rsz-025</t>
        </is>
      </c>
      <c r="B388" t="n">
        <v>3</v>
      </c>
      <c r="C388" t="inlineStr">
        <is>
          <t>Energia</t>
        </is>
      </c>
    </row>
    <row r="389">
      <c r="A389" t="inlineStr">
        <is>
          <t>rsz-025</t>
        </is>
      </c>
      <c r="B389" t="n">
        <v>4</v>
      </c>
      <c r="C389" t="inlineStr">
        <is>
          <t>Volt</t>
        </is>
      </c>
    </row>
    <row r="390">
      <c r="A390" t="inlineStr">
        <is>
          <t>rsz-025</t>
        </is>
      </c>
      <c r="B390" t="n">
        <v>5</v>
      </c>
      <c r="C390" t="inlineStr">
        <is>
          <t>Mód</t>
        </is>
      </c>
    </row>
    <row r="391">
      <c r="A391" t="inlineStr">
        <is>
          <t>rsz-025</t>
        </is>
      </c>
      <c r="B391" t="n">
        <v>6</v>
      </c>
      <c r="C391" t="inlineStr">
        <is>
          <t>Év</t>
        </is>
      </c>
    </row>
    <row r="392">
      <c r="A392" t="inlineStr">
        <is>
          <t>rsz-025</t>
        </is>
      </c>
      <c r="B392" t="n">
        <v>7</v>
      </c>
      <c r="C392" t="inlineStr">
        <is>
          <t>Munka</t>
        </is>
      </c>
    </row>
    <row r="393">
      <c r="A393" t="inlineStr">
        <is>
          <t>rsz-025</t>
        </is>
      </c>
      <c r="B393" t="n">
        <v>8</v>
      </c>
      <c r="C393" t="inlineStr">
        <is>
          <t>Erő</t>
        </is>
      </c>
    </row>
    <row r="394">
      <c r="A394" t="inlineStr">
        <is>
          <t>rsz-025</t>
        </is>
      </c>
      <c r="B394" t="n">
        <v>9</v>
      </c>
      <c r="C394" t="inlineStr">
        <is>
          <t>Eset</t>
        </is>
      </c>
    </row>
    <row r="395">
      <c r="A395" t="inlineStr">
        <is>
          <t>rsz-025</t>
        </is>
      </c>
      <c r="B395" t="n">
        <v>10</v>
      </c>
      <c r="C395" t="inlineStr">
        <is>
          <t>Láb</t>
        </is>
      </c>
    </row>
    <row r="396">
      <c r="A396" t="inlineStr">
        <is>
          <t>rsz-025</t>
        </is>
      </c>
      <c r="B396" t="n">
        <v>11</v>
      </c>
      <c r="C396" t="inlineStr">
        <is>
          <t>Dinamó</t>
        </is>
      </c>
    </row>
    <row r="397">
      <c r="A397" t="inlineStr">
        <is>
          <t>rsz-025</t>
        </is>
      </c>
      <c r="B397" t="n">
        <v>12</v>
      </c>
      <c r="C397" t="inlineStr">
        <is>
          <t>Gyufa</t>
        </is>
      </c>
    </row>
    <row r="398">
      <c r="A398" t="inlineStr">
        <is>
          <t>rsz-025</t>
        </is>
      </c>
      <c r="B398" t="n">
        <v>13</v>
      </c>
      <c r="C398" t="inlineStr">
        <is>
          <t>Személy</t>
        </is>
      </c>
    </row>
    <row r="399">
      <c r="A399" t="inlineStr">
        <is>
          <t>rsz-025</t>
        </is>
      </c>
      <c r="B399" t="n">
        <v>14</v>
      </c>
      <c r="C399" t="inlineStr">
        <is>
          <t>Nyomás</t>
        </is>
      </c>
    </row>
    <row r="400">
      <c r="A400" t="inlineStr">
        <is>
          <t>rsz-025</t>
        </is>
      </c>
      <c r="B400" t="n">
        <v>15</v>
      </c>
      <c r="C400" t="inlineStr">
        <is>
          <t>Szódavíz</t>
        </is>
      </c>
    </row>
    <row r="401">
      <c r="A401" t="inlineStr">
        <is>
          <t>rsz-025</t>
        </is>
      </c>
      <c r="B401" t="n">
        <v>16</v>
      </c>
      <c r="C401" t="inlineStr">
        <is>
          <t>Karát</t>
        </is>
      </c>
    </row>
    <row r="402">
      <c r="A402" t="inlineStr">
        <is>
          <t>rsz-026</t>
        </is>
      </c>
      <c r="B402" t="n">
        <v>1</v>
      </c>
      <c r="C402" t="inlineStr">
        <is>
          <t>Tört</t>
        </is>
      </c>
    </row>
    <row r="403">
      <c r="A403" t="inlineStr">
        <is>
          <t>rsz-026</t>
        </is>
      </c>
      <c r="B403" t="n">
        <v>2</v>
      </c>
      <c r="C403" t="inlineStr">
        <is>
          <t>Szünet</t>
        </is>
      </c>
    </row>
    <row r="404">
      <c r="A404" t="inlineStr">
        <is>
          <t>rsz-026</t>
        </is>
      </c>
      <c r="B404" t="n">
        <v>3</v>
      </c>
      <c r="C404" t="inlineStr">
        <is>
          <t>Hörgő</t>
        </is>
      </c>
    </row>
    <row r="405">
      <c r="A405" t="inlineStr">
        <is>
          <t>rsz-026</t>
        </is>
      </c>
      <c r="B405" t="n">
        <v>4</v>
      </c>
      <c r="C405" t="inlineStr">
        <is>
          <t>Kereszt</t>
        </is>
      </c>
    </row>
    <row r="406">
      <c r="A406" t="inlineStr">
        <is>
          <t>rsz-026</t>
        </is>
      </c>
      <c r="B406" t="n">
        <v>5</v>
      </c>
      <c r="C406" t="inlineStr">
        <is>
          <t>Morzsa</t>
        </is>
      </c>
    </row>
    <row r="407">
      <c r="A407" t="inlineStr">
        <is>
          <t>rsz-026</t>
        </is>
      </c>
      <c r="B407" t="n">
        <v>6</v>
      </c>
      <c r="C407" t="inlineStr">
        <is>
          <t>Szoba</t>
        </is>
      </c>
    </row>
    <row r="408">
      <c r="A408" t="inlineStr">
        <is>
          <t>rsz-026</t>
        </is>
      </c>
      <c r="B408" t="n">
        <v>7</v>
      </c>
      <c r="C408" t="inlineStr">
        <is>
          <t>Kő</t>
        </is>
      </c>
    </row>
    <row r="409">
      <c r="A409" t="inlineStr">
        <is>
          <t>rsz-026</t>
        </is>
      </c>
      <c r="B409" t="n">
        <v>8</v>
      </c>
      <c r="C409" t="inlineStr">
        <is>
          <t>Ütem</t>
        </is>
      </c>
    </row>
    <row r="410">
      <c r="A410" t="inlineStr">
        <is>
          <t>rsz-026</t>
        </is>
      </c>
      <c r="B410" t="n">
        <v>9</v>
      </c>
      <c r="C410" t="inlineStr">
        <is>
          <t>Írisz</t>
        </is>
      </c>
    </row>
    <row r="411">
      <c r="A411" t="inlineStr">
        <is>
          <t>rsz-026</t>
        </is>
      </c>
      <c r="B411" t="n">
        <v>10</v>
      </c>
      <c r="C411" t="inlineStr">
        <is>
          <t>Szög</t>
        </is>
      </c>
    </row>
    <row r="412">
      <c r="A412" t="inlineStr">
        <is>
          <t>rsz-026</t>
        </is>
      </c>
      <c r="B412" t="n">
        <v>11</v>
      </c>
      <c r="C412" t="inlineStr">
        <is>
          <t>Kulcs</t>
        </is>
      </c>
    </row>
    <row r="413">
      <c r="A413" t="inlineStr">
        <is>
          <t>rsz-026</t>
        </is>
      </c>
      <c r="B413" t="n">
        <v>12</v>
      </c>
      <c r="C413" t="inlineStr">
        <is>
          <t>Sor</t>
        </is>
      </c>
    </row>
    <row r="414">
      <c r="A414" t="inlineStr">
        <is>
          <t>rsz-026</t>
        </is>
      </c>
      <c r="B414" t="n">
        <v>13</v>
      </c>
      <c r="C414" t="inlineStr">
        <is>
          <t>Ér</t>
        </is>
      </c>
    </row>
    <row r="415">
      <c r="A415" t="inlineStr">
        <is>
          <t>rsz-026</t>
        </is>
      </c>
      <c r="B415" t="n">
        <v>14</v>
      </c>
      <c r="C415" t="inlineStr">
        <is>
          <t>Lép</t>
        </is>
      </c>
    </row>
    <row r="416">
      <c r="A416" t="inlineStr">
        <is>
          <t>rsz-026</t>
        </is>
      </c>
      <c r="B416" t="n">
        <v>15</v>
      </c>
      <c r="C416" t="inlineStr">
        <is>
          <t>Galamb</t>
        </is>
      </c>
    </row>
    <row r="417">
      <c r="A417" t="inlineStr">
        <is>
          <t>rsz-026</t>
        </is>
      </c>
      <c r="B417" t="n">
        <v>16</v>
      </c>
      <c r="C417" t="inlineStr">
        <is>
          <t>Gyök</t>
        </is>
      </c>
    </row>
    <row r="418">
      <c r="A418" t="inlineStr">
        <is>
          <t>rsz-027</t>
        </is>
      </c>
      <c r="B418" t="n">
        <v>1</v>
      </c>
      <c r="C418" t="inlineStr">
        <is>
          <t>Nyereg</t>
        </is>
      </c>
    </row>
    <row r="419">
      <c r="A419" t="inlineStr">
        <is>
          <t>rsz-027</t>
        </is>
      </c>
      <c r="B419" t="n">
        <v>2</v>
      </c>
      <c r="C419" t="inlineStr">
        <is>
          <t>Szár</t>
        </is>
      </c>
    </row>
    <row r="420">
      <c r="A420" t="inlineStr">
        <is>
          <t>rsz-027</t>
        </is>
      </c>
      <c r="B420" t="n">
        <v>3</v>
      </c>
      <c r="C420" t="inlineStr">
        <is>
          <t>Öböl</t>
        </is>
      </c>
    </row>
    <row r="421">
      <c r="A421" t="inlineStr">
        <is>
          <t>rsz-027</t>
        </is>
      </c>
      <c r="B421" t="n">
        <v>4</v>
      </c>
      <c r="C421" t="inlineStr">
        <is>
          <t>Rügy</t>
        </is>
      </c>
    </row>
    <row r="422">
      <c r="A422" t="inlineStr">
        <is>
          <t>rsz-027</t>
        </is>
      </c>
      <c r="B422" t="n">
        <v>5</v>
      </c>
      <c r="C422" t="inlineStr">
        <is>
          <t>Far</t>
        </is>
      </c>
    </row>
    <row r="423">
      <c r="A423" t="inlineStr">
        <is>
          <t>rsz-027</t>
        </is>
      </c>
      <c r="B423" t="n">
        <v>6</v>
      </c>
      <c r="C423" t="inlineStr">
        <is>
          <t>Fok</t>
        </is>
      </c>
    </row>
    <row r="424">
      <c r="A424" t="inlineStr">
        <is>
          <t>rsz-027</t>
        </is>
      </c>
      <c r="B424" t="n">
        <v>7</v>
      </c>
      <c r="C424" t="inlineStr">
        <is>
          <t>Árboc</t>
        </is>
      </c>
    </row>
    <row r="425">
      <c r="A425" t="inlineStr">
        <is>
          <t>rsz-027</t>
        </is>
      </c>
      <c r="B425" t="n">
        <v>8</v>
      </c>
      <c r="C425" t="inlineStr">
        <is>
          <t>Medence</t>
        </is>
      </c>
    </row>
    <row r="426">
      <c r="A426" t="inlineStr">
        <is>
          <t>rsz-027</t>
        </is>
      </c>
      <c r="B426" t="n">
        <v>9</v>
      </c>
      <c r="C426" t="inlineStr">
        <is>
          <t>Kormány</t>
        </is>
      </c>
    </row>
    <row r="427">
      <c r="A427" t="inlineStr">
        <is>
          <t>rsz-027</t>
        </is>
      </c>
      <c r="B427" t="n">
        <v>10</v>
      </c>
      <c r="C427" t="inlineStr">
        <is>
          <t>Bimbó</t>
        </is>
      </c>
    </row>
    <row r="428">
      <c r="A428" t="inlineStr">
        <is>
          <t>rsz-027</t>
        </is>
      </c>
      <c r="B428" t="n">
        <v>11</v>
      </c>
      <c r="C428" t="inlineStr">
        <is>
          <t>Bibe</t>
        </is>
      </c>
    </row>
    <row r="429">
      <c r="A429" t="inlineStr">
        <is>
          <t>rsz-027</t>
        </is>
      </c>
      <c r="B429" t="n">
        <v>12</v>
      </c>
      <c r="C429" t="inlineStr">
        <is>
          <t>Hélium</t>
        </is>
      </c>
    </row>
    <row r="430">
      <c r="A430" t="inlineStr">
        <is>
          <t>rsz-027</t>
        </is>
      </c>
      <c r="B430" t="n">
        <v>13</v>
      </c>
      <c r="C430" t="inlineStr">
        <is>
          <t>Orr</t>
        </is>
      </c>
    </row>
    <row r="431">
      <c r="A431" t="inlineStr">
        <is>
          <t>rsz-027</t>
        </is>
      </c>
      <c r="B431" t="n">
        <v>14</v>
      </c>
      <c r="C431" t="inlineStr">
        <is>
          <t>Szén</t>
        </is>
      </c>
    </row>
    <row r="432">
      <c r="A432" t="inlineStr">
        <is>
          <t>rsz-027</t>
        </is>
      </c>
      <c r="B432" t="n">
        <v>15</v>
      </c>
      <c r="C432" t="inlineStr">
        <is>
          <t>Arany</t>
        </is>
      </c>
    </row>
    <row r="433">
      <c r="A433" t="inlineStr">
        <is>
          <t>rsz-027</t>
        </is>
      </c>
      <c r="B433" t="n">
        <v>16</v>
      </c>
      <c r="C433" t="inlineStr">
        <is>
          <t>Vas</t>
        </is>
      </c>
    </row>
    <row r="434">
      <c r="A434" t="inlineStr">
        <is>
          <t>rsz-028</t>
        </is>
      </c>
      <c r="B434" t="n">
        <v>1</v>
      </c>
      <c r="C434" t="inlineStr">
        <is>
          <t>Inga</t>
        </is>
      </c>
    </row>
    <row r="435">
      <c r="A435" t="inlineStr">
        <is>
          <t>rsz-028</t>
        </is>
      </c>
      <c r="B435" t="n">
        <v>2</v>
      </c>
      <c r="C435" t="inlineStr">
        <is>
          <t>Szárny</t>
        </is>
      </c>
    </row>
    <row r="436">
      <c r="A436" t="inlineStr">
        <is>
          <t>rsz-028</t>
        </is>
      </c>
      <c r="B436" t="n">
        <v>3</v>
      </c>
      <c r="C436" t="inlineStr">
        <is>
          <t>Fény</t>
        </is>
      </c>
    </row>
    <row r="437">
      <c r="A437" t="inlineStr">
        <is>
          <t>rsz-028</t>
        </is>
      </c>
      <c r="B437" t="n">
        <v>4</v>
      </c>
      <c r="C437" t="inlineStr">
        <is>
          <t>Somlói</t>
        </is>
      </c>
    </row>
    <row r="438">
      <c r="A438" t="inlineStr">
        <is>
          <t>rsz-028</t>
        </is>
      </c>
      <c r="B438" t="n">
        <v>5</v>
      </c>
      <c r="C438" t="inlineStr">
        <is>
          <t>Árnyék</t>
        </is>
      </c>
    </row>
    <row r="439">
      <c r="A439" t="inlineStr">
        <is>
          <t>rsz-028</t>
        </is>
      </c>
      <c r="B439" t="n">
        <v>6</v>
      </c>
      <c r="C439" t="inlineStr">
        <is>
          <t>Csőr</t>
        </is>
      </c>
    </row>
    <row r="440">
      <c r="A440" t="inlineStr">
        <is>
          <t>rsz-028</t>
        </is>
      </c>
      <c r="B440" t="n">
        <v>7</v>
      </c>
      <c r="C440" t="inlineStr">
        <is>
          <t>Toll</t>
        </is>
      </c>
    </row>
    <row r="441">
      <c r="A441" t="inlineStr">
        <is>
          <t>rsz-028</t>
        </is>
      </c>
      <c r="B441" t="n">
        <v>8</v>
      </c>
      <c r="C441" t="inlineStr">
        <is>
          <t>Begy</t>
        </is>
      </c>
    </row>
    <row r="442">
      <c r="A442" t="inlineStr">
        <is>
          <t>rsz-028</t>
        </is>
      </c>
      <c r="B442" t="n">
        <v>9</v>
      </c>
      <c r="C442" t="inlineStr">
        <is>
          <t>Rétes</t>
        </is>
      </c>
    </row>
    <row r="443">
      <c r="A443" t="inlineStr">
        <is>
          <t>rsz-028</t>
        </is>
      </c>
      <c r="B443" t="n">
        <v>10</v>
      </c>
      <c r="C443" t="inlineStr">
        <is>
          <t>Fagylalt</t>
        </is>
      </c>
    </row>
    <row r="444">
      <c r="A444" t="inlineStr">
        <is>
          <t>rsz-028</t>
        </is>
      </c>
      <c r="B444" t="n">
        <v>11</v>
      </c>
      <c r="C444" t="inlineStr">
        <is>
          <t>Rugó</t>
        </is>
      </c>
    </row>
    <row r="445">
      <c r="A445" t="inlineStr">
        <is>
          <t>rsz-028</t>
        </is>
      </c>
      <c r="B445" t="n">
        <v>12</v>
      </c>
      <c r="C445" t="inlineStr">
        <is>
          <t>Tükör</t>
        </is>
      </c>
    </row>
    <row r="446">
      <c r="A446" t="inlineStr">
        <is>
          <t>rsz-028</t>
        </is>
      </c>
      <c r="B446" t="n">
        <v>13</v>
      </c>
      <c r="C446" t="inlineStr">
        <is>
          <t>Lencse</t>
        </is>
      </c>
    </row>
    <row r="447">
      <c r="A447" t="inlineStr">
        <is>
          <t>rsz-028</t>
        </is>
      </c>
      <c r="B447" t="n">
        <v>14</v>
      </c>
      <c r="C447" t="inlineStr">
        <is>
          <t>Mutató</t>
        </is>
      </c>
    </row>
    <row r="448">
      <c r="A448" t="inlineStr">
        <is>
          <t>rsz-028</t>
        </is>
      </c>
      <c r="B448" t="n">
        <v>15</v>
      </c>
      <c r="C448" t="inlineStr">
        <is>
          <t>Krémes</t>
        </is>
      </c>
    </row>
    <row r="449">
      <c r="A449" t="inlineStr">
        <is>
          <t>rsz-028</t>
        </is>
      </c>
      <c r="B449" t="n">
        <v>16</v>
      </c>
      <c r="C449" t="inlineStr">
        <is>
          <t>Korona</t>
        </is>
      </c>
    </row>
    <row r="450">
      <c r="A450" t="inlineStr">
        <is>
          <t>rsz-029</t>
        </is>
      </c>
      <c r="B450" t="n">
        <v>1</v>
      </c>
      <c r="C450" t="inlineStr">
        <is>
          <t>Hozam</t>
        </is>
      </c>
    </row>
    <row r="451">
      <c r="A451" t="inlineStr">
        <is>
          <t>rsz-029</t>
        </is>
      </c>
      <c r="B451" t="n">
        <v>2</v>
      </c>
      <c r="C451" t="inlineStr">
        <is>
          <t>Soproni</t>
        </is>
      </c>
    </row>
    <row r="452">
      <c r="A452" t="inlineStr">
        <is>
          <t>rsz-029</t>
        </is>
      </c>
      <c r="B452" t="n">
        <v>3</v>
      </c>
      <c r="C452" t="inlineStr">
        <is>
          <t>Kamat</t>
        </is>
      </c>
    </row>
    <row r="453">
      <c r="A453" t="inlineStr">
        <is>
          <t>rsz-029</t>
        </is>
      </c>
      <c r="B453" t="n">
        <v>4</v>
      </c>
      <c r="C453" t="inlineStr">
        <is>
          <t>Margó</t>
        </is>
      </c>
    </row>
    <row r="454">
      <c r="A454" t="inlineStr">
        <is>
          <t>rsz-029</t>
        </is>
      </c>
      <c r="B454" t="n">
        <v>5</v>
      </c>
      <c r="C454" t="inlineStr">
        <is>
          <t>Kínálat</t>
        </is>
      </c>
    </row>
    <row r="455">
      <c r="A455" t="inlineStr">
        <is>
          <t>rsz-029</t>
        </is>
      </c>
      <c r="B455" t="n">
        <v>6</v>
      </c>
      <c r="C455" t="inlineStr">
        <is>
          <t>Fül</t>
        </is>
      </c>
    </row>
    <row r="456">
      <c r="A456" t="inlineStr">
        <is>
          <t>rsz-029</t>
        </is>
      </c>
      <c r="B456" t="n">
        <v>7</v>
      </c>
      <c r="C456" t="inlineStr">
        <is>
          <t>Ítélet</t>
        </is>
      </c>
    </row>
    <row r="457">
      <c r="A457" t="inlineStr">
        <is>
          <t>rsz-029</t>
        </is>
      </c>
      <c r="B457" t="n">
        <v>8</v>
      </c>
      <c r="C457" t="inlineStr">
        <is>
          <t>Kötés</t>
        </is>
      </c>
    </row>
    <row r="458">
      <c r="A458" t="inlineStr">
        <is>
          <t>rsz-029</t>
        </is>
      </c>
      <c r="B458" t="n">
        <v>9</v>
      </c>
      <c r="C458" t="inlineStr">
        <is>
          <t>Tanú</t>
        </is>
      </c>
    </row>
    <row r="459">
      <c r="A459" t="inlineStr">
        <is>
          <t>rsz-029</t>
        </is>
      </c>
      <c r="B459" t="n">
        <v>10</v>
      </c>
      <c r="C459" t="inlineStr">
        <is>
          <t>Dreher</t>
        </is>
      </c>
    </row>
    <row r="460">
      <c r="A460" t="inlineStr">
        <is>
          <t>rsz-029</t>
        </is>
      </c>
      <c r="B460" t="n">
        <v>11</v>
      </c>
      <c r="C460" t="inlineStr">
        <is>
          <t>Vád</t>
        </is>
      </c>
    </row>
    <row r="461">
      <c r="A461" t="inlineStr">
        <is>
          <t>rsz-029</t>
        </is>
      </c>
      <c r="B461" t="n">
        <v>12</v>
      </c>
      <c r="C461" t="inlineStr">
        <is>
          <t>Borsodi</t>
        </is>
      </c>
    </row>
    <row r="462">
      <c r="A462" t="inlineStr">
        <is>
          <t>rsz-029</t>
        </is>
      </c>
      <c r="B462" t="n">
        <v>13</v>
      </c>
      <c r="C462" t="inlineStr">
        <is>
          <t>Per</t>
        </is>
      </c>
    </row>
    <row r="463">
      <c r="A463" t="inlineStr">
        <is>
          <t>rsz-029</t>
        </is>
      </c>
      <c r="B463" t="n">
        <v>14</v>
      </c>
      <c r="C463" t="inlineStr">
        <is>
          <t>Kőbányai</t>
        </is>
      </c>
    </row>
    <row r="464">
      <c r="A464" t="inlineStr">
        <is>
          <t>rsz-029</t>
        </is>
      </c>
      <c r="B464" t="n">
        <v>15</v>
      </c>
      <c r="C464" t="inlineStr">
        <is>
          <t>Gerinc</t>
        </is>
      </c>
    </row>
    <row r="465">
      <c r="A465" t="inlineStr">
        <is>
          <t>rsz-029</t>
        </is>
      </c>
      <c r="B465" t="n">
        <v>16</v>
      </c>
      <c r="C465" t="inlineStr">
        <is>
          <t>Mérleg</t>
        </is>
      </c>
    </row>
    <row r="466">
      <c r="A466" t="inlineStr">
        <is>
          <t>rsz-030</t>
        </is>
      </c>
      <c r="B466" t="n">
        <v>1</v>
      </c>
      <c r="C466" t="inlineStr">
        <is>
          <t>Korona</t>
        </is>
      </c>
    </row>
    <row r="467">
      <c r="A467" t="inlineStr">
        <is>
          <t>rsz-030</t>
        </is>
      </c>
      <c r="B467" t="n">
        <v>2</v>
      </c>
      <c r="C467" t="inlineStr">
        <is>
          <t>Ideg</t>
        </is>
      </c>
    </row>
    <row r="468">
      <c r="A468" t="inlineStr">
        <is>
          <t>rsz-030</t>
        </is>
      </c>
      <c r="B468" t="n">
        <v>3</v>
      </c>
      <c r="C468" t="inlineStr">
        <is>
          <t>Fakanál</t>
        </is>
      </c>
    </row>
    <row r="469">
      <c r="A469" t="inlineStr">
        <is>
          <t>rsz-030</t>
        </is>
      </c>
      <c r="B469" t="n">
        <v>4</v>
      </c>
      <c r="C469" t="inlineStr">
        <is>
          <t>Csúcs</t>
        </is>
      </c>
    </row>
    <row r="470">
      <c r="A470" t="inlineStr">
        <is>
          <t>rsz-030</t>
        </is>
      </c>
      <c r="B470" t="n">
        <v>5</v>
      </c>
      <c r="C470" t="inlineStr">
        <is>
          <t>Egér</t>
        </is>
      </c>
    </row>
    <row r="471">
      <c r="A471" t="inlineStr">
        <is>
          <t>rsz-030</t>
        </is>
      </c>
      <c r="B471" t="n">
        <v>6</v>
      </c>
      <c r="C471" t="inlineStr">
        <is>
          <t>Fonák</t>
        </is>
      </c>
    </row>
    <row r="472">
      <c r="A472" t="inlineStr">
        <is>
          <t>rsz-030</t>
        </is>
      </c>
      <c r="B472" t="n">
        <v>7</v>
      </c>
      <c r="C472" t="inlineStr">
        <is>
          <t>Szél</t>
        </is>
      </c>
    </row>
    <row r="473">
      <c r="A473" t="inlineStr">
        <is>
          <t>rsz-030</t>
        </is>
      </c>
      <c r="B473" t="n">
        <v>8</v>
      </c>
      <c r="C473" t="inlineStr">
        <is>
          <t>Habverő</t>
        </is>
      </c>
    </row>
    <row r="474">
      <c r="A474" t="inlineStr">
        <is>
          <t>rsz-030</t>
        </is>
      </c>
      <c r="B474" t="n">
        <v>9</v>
      </c>
      <c r="C474" t="inlineStr">
        <is>
          <t>Gyökér</t>
        </is>
      </c>
    </row>
    <row r="475">
      <c r="A475" t="inlineStr">
        <is>
          <t>rsz-030</t>
        </is>
      </c>
      <c r="B475" t="n">
        <v>10</v>
      </c>
      <c r="C475" t="inlineStr">
        <is>
          <t>Kukac</t>
        </is>
      </c>
    </row>
    <row r="476">
      <c r="A476" t="inlineStr">
        <is>
          <t>rsz-030</t>
        </is>
      </c>
      <c r="B476" t="n">
        <v>11</v>
      </c>
      <c r="C476" t="inlineStr">
        <is>
          <t>Zománc</t>
        </is>
      </c>
    </row>
    <row r="477">
      <c r="A477" t="inlineStr">
        <is>
          <t>rsz-030</t>
        </is>
      </c>
      <c r="B477" t="n">
        <v>12</v>
      </c>
      <c r="C477" t="inlineStr">
        <is>
          <t>Ablak</t>
        </is>
      </c>
    </row>
    <row r="478">
      <c r="A478" t="inlineStr">
        <is>
          <t>rsz-030</t>
        </is>
      </c>
      <c r="B478" t="n">
        <v>13</v>
      </c>
      <c r="C478" t="inlineStr">
        <is>
          <t>Tepsi</t>
        </is>
      </c>
    </row>
    <row r="479">
      <c r="A479" t="inlineStr">
        <is>
          <t>rsz-030</t>
        </is>
      </c>
      <c r="B479" t="n">
        <v>14</v>
      </c>
      <c r="C479" t="inlineStr">
        <is>
          <t>Mappa</t>
        </is>
      </c>
    </row>
    <row r="480">
      <c r="A480" t="inlineStr">
        <is>
          <t>rsz-030</t>
        </is>
      </c>
      <c r="B480" t="n">
        <v>15</v>
      </c>
      <c r="C480" t="inlineStr">
        <is>
          <t>Nyél</t>
        </is>
      </c>
    </row>
    <row r="481">
      <c r="A481" t="inlineStr">
        <is>
          <t>rsz-030</t>
        </is>
      </c>
      <c r="B481" t="n">
        <v>16</v>
      </c>
      <c r="C481" t="inlineStr">
        <is>
          <t>Merőkanál</t>
        </is>
      </c>
    </row>
    <row r="482">
      <c r="A482" t="inlineStr">
        <is>
          <t>rsz-031</t>
        </is>
      </c>
      <c r="B482" t="n">
        <v>1</v>
      </c>
      <c r="C482" t="inlineStr">
        <is>
          <t>Dáridó</t>
        </is>
      </c>
    </row>
    <row r="483">
      <c r="A483" t="inlineStr">
        <is>
          <t>rsz-031</t>
        </is>
      </c>
      <c r="B483" t="n">
        <v>2</v>
      </c>
      <c r="C483" t="inlineStr">
        <is>
          <t>Vörhenyes</t>
        </is>
      </c>
    </row>
    <row r="484">
      <c r="A484" t="inlineStr">
        <is>
          <t>rsz-031</t>
        </is>
      </c>
      <c r="B484" t="n">
        <v>3</v>
      </c>
      <c r="C484" t="inlineStr">
        <is>
          <t>Kasza</t>
        </is>
      </c>
    </row>
    <row r="485">
      <c r="A485" t="inlineStr">
        <is>
          <t>rsz-031</t>
        </is>
      </c>
      <c r="B485" t="n">
        <v>4</v>
      </c>
      <c r="C485" t="inlineStr">
        <is>
          <t>Legényes</t>
        </is>
      </c>
    </row>
    <row r="486">
      <c r="A486" t="inlineStr">
        <is>
          <t>rsz-031</t>
        </is>
      </c>
      <c r="B486" t="n">
        <v>5</v>
      </c>
      <c r="C486" t="inlineStr">
        <is>
          <t>Ugrós</t>
        </is>
      </c>
    </row>
    <row r="487">
      <c r="A487" t="inlineStr">
        <is>
          <t>rsz-031</t>
        </is>
      </c>
      <c r="B487" t="n">
        <v>6</v>
      </c>
      <c r="C487" t="inlineStr">
        <is>
          <t>Bál</t>
        </is>
      </c>
    </row>
    <row r="488">
      <c r="A488" t="inlineStr">
        <is>
          <t>rsz-031</t>
        </is>
      </c>
      <c r="B488" t="n">
        <v>7</v>
      </c>
      <c r="C488" t="inlineStr">
        <is>
          <t>Verbunk</t>
        </is>
      </c>
    </row>
    <row r="489">
      <c r="A489" t="inlineStr">
        <is>
          <t>rsz-031</t>
        </is>
      </c>
      <c r="B489" t="n">
        <v>8</v>
      </c>
      <c r="C489" t="inlineStr">
        <is>
          <t>Kapa</t>
        </is>
      </c>
    </row>
    <row r="490">
      <c r="A490" t="inlineStr">
        <is>
          <t>rsz-031</t>
        </is>
      </c>
      <c r="B490" t="n">
        <v>9</v>
      </c>
      <c r="C490" t="inlineStr">
        <is>
          <t>Molnár</t>
        </is>
      </c>
    </row>
    <row r="491">
      <c r="A491" t="inlineStr">
        <is>
          <t>rsz-031</t>
        </is>
      </c>
      <c r="B491" t="n">
        <v>10</v>
      </c>
      <c r="C491" t="inlineStr">
        <is>
          <t>Muri</t>
        </is>
      </c>
    </row>
    <row r="492">
      <c r="A492" t="inlineStr">
        <is>
          <t>rsz-031</t>
        </is>
      </c>
      <c r="B492" t="n">
        <v>11</v>
      </c>
      <c r="C492" t="inlineStr">
        <is>
          <t>Villa</t>
        </is>
      </c>
    </row>
    <row r="493">
      <c r="A493" t="inlineStr">
        <is>
          <t>rsz-031</t>
        </is>
      </c>
      <c r="B493" t="n">
        <v>12</v>
      </c>
      <c r="C493" t="inlineStr">
        <is>
          <t>Karikázó</t>
        </is>
      </c>
    </row>
    <row r="494">
      <c r="A494" t="inlineStr">
        <is>
          <t>rsz-031</t>
        </is>
      </c>
      <c r="B494" t="n">
        <v>13</v>
      </c>
      <c r="C494" t="inlineStr">
        <is>
          <t>Mulatság</t>
        </is>
      </c>
    </row>
    <row r="495">
      <c r="A495" t="inlineStr">
        <is>
          <t>rsz-031</t>
        </is>
      </c>
      <c r="B495" t="n">
        <v>14</v>
      </c>
      <c r="C495" t="inlineStr">
        <is>
          <t>Füsti</t>
        </is>
      </c>
    </row>
    <row r="496">
      <c r="A496" t="inlineStr">
        <is>
          <t>rsz-031</t>
        </is>
      </c>
      <c r="B496" t="n">
        <v>15</v>
      </c>
      <c r="C496" t="inlineStr">
        <is>
          <t>Gereblye</t>
        </is>
      </c>
    </row>
    <row r="497">
      <c r="A497" t="inlineStr">
        <is>
          <t>rsz-031</t>
        </is>
      </c>
      <c r="B497" t="n">
        <v>16</v>
      </c>
      <c r="C497" t="inlineStr">
        <is>
          <t>Sarlós</t>
        </is>
      </c>
    </row>
    <row r="498">
      <c r="A498" t="inlineStr">
        <is>
          <t>rsz-032</t>
        </is>
      </c>
      <c r="B498" t="n">
        <v>1</v>
      </c>
      <c r="C498" t="inlineStr">
        <is>
          <t>Gallon</t>
        </is>
      </c>
    </row>
    <row r="499">
      <c r="A499" t="inlineStr">
        <is>
          <t>rsz-032</t>
        </is>
      </c>
      <c r="B499" t="n">
        <v>2</v>
      </c>
      <c r="C499" t="inlineStr">
        <is>
          <t>Sarok</t>
        </is>
      </c>
    </row>
    <row r="500">
      <c r="A500" t="inlineStr">
        <is>
          <t>rsz-032</t>
        </is>
      </c>
      <c r="B500" t="n">
        <v>3</v>
      </c>
      <c r="C500" t="inlineStr">
        <is>
          <t>Pellet</t>
        </is>
      </c>
    </row>
    <row r="501">
      <c r="A501" t="inlineStr">
        <is>
          <t>rsz-032</t>
        </is>
      </c>
      <c r="B501" t="n">
        <v>4</v>
      </c>
      <c r="C501" t="inlineStr">
        <is>
          <t>Hüvelyk</t>
        </is>
      </c>
    </row>
    <row r="502">
      <c r="A502" t="inlineStr">
        <is>
          <t>rsz-032</t>
        </is>
      </c>
      <c r="B502" t="n">
        <v>5</v>
      </c>
      <c r="C502" t="inlineStr">
        <is>
          <t>Gyűrűs</t>
        </is>
      </c>
    </row>
    <row r="503">
      <c r="A503" t="inlineStr">
        <is>
          <t>rsz-032</t>
        </is>
      </c>
      <c r="B503" t="n">
        <v>6</v>
      </c>
      <c r="C503" t="inlineStr">
        <is>
          <t>Vese</t>
        </is>
      </c>
    </row>
    <row r="504">
      <c r="A504" t="inlineStr">
        <is>
          <t>rsz-032</t>
        </is>
      </c>
      <c r="B504" t="n">
        <v>7</v>
      </c>
      <c r="C504" t="inlineStr">
        <is>
          <t>Liter</t>
        </is>
      </c>
    </row>
    <row r="505">
      <c r="A505" t="inlineStr">
        <is>
          <t>rsz-032</t>
        </is>
      </c>
      <c r="B505" t="n">
        <v>8</v>
      </c>
      <c r="C505" t="inlineStr">
        <is>
          <t>Fog</t>
        </is>
      </c>
    </row>
    <row r="506">
      <c r="A506" t="inlineStr">
        <is>
          <t>rsz-032</t>
        </is>
      </c>
      <c r="B506" t="n">
        <v>9</v>
      </c>
      <c r="C506" t="inlineStr">
        <is>
          <t>Mérföld</t>
        </is>
      </c>
    </row>
    <row r="507">
      <c r="A507" t="inlineStr">
        <is>
          <t>rsz-032</t>
        </is>
      </c>
      <c r="B507" t="n">
        <v>10</v>
      </c>
      <c r="C507" t="inlineStr">
        <is>
          <t>Koksz</t>
        </is>
      </c>
    </row>
    <row r="508">
      <c r="A508" t="inlineStr">
        <is>
          <t>rsz-032</t>
        </is>
      </c>
      <c r="B508" t="n">
        <v>11</v>
      </c>
      <c r="C508" t="inlineStr">
        <is>
          <t>Pint</t>
        </is>
      </c>
    </row>
    <row r="509">
      <c r="A509" t="inlineStr">
        <is>
          <t>rsz-032</t>
        </is>
      </c>
      <c r="B509" t="n">
        <v>12</v>
      </c>
      <c r="C509" t="inlineStr">
        <is>
          <t>Brikett</t>
        </is>
      </c>
    </row>
    <row r="510">
      <c r="A510" t="inlineStr">
        <is>
          <t>rsz-032</t>
        </is>
      </c>
      <c r="B510" t="n">
        <v>13</v>
      </c>
      <c r="C510" t="inlineStr">
        <is>
          <t>Mutató</t>
        </is>
      </c>
    </row>
    <row r="511">
      <c r="A511" t="inlineStr">
        <is>
          <t>rsz-032</t>
        </is>
      </c>
      <c r="B511" t="n">
        <v>14</v>
      </c>
      <c r="C511" t="inlineStr">
        <is>
          <t>Középső</t>
        </is>
      </c>
    </row>
    <row r="512">
      <c r="A512" t="inlineStr">
        <is>
          <t>rsz-032</t>
        </is>
      </c>
      <c r="B512" t="n">
        <v>15</v>
      </c>
      <c r="C512" t="inlineStr">
        <is>
          <t>Fa</t>
        </is>
      </c>
    </row>
    <row r="513">
      <c r="A513" t="inlineStr">
        <is>
          <t>rsz-032</t>
        </is>
      </c>
      <c r="B513" t="n">
        <v>16</v>
      </c>
      <c r="C513" t="inlineStr">
        <is>
          <t>Hordó</t>
        </is>
      </c>
    </row>
    <row r="514">
      <c r="A514" t="inlineStr">
        <is>
          <t>rsz-033</t>
        </is>
      </c>
      <c r="B514" t="n">
        <v>1</v>
      </c>
      <c r="C514" t="inlineStr">
        <is>
          <t>Tizedes</t>
        </is>
      </c>
    </row>
    <row r="515">
      <c r="A515" t="inlineStr">
        <is>
          <t>rsz-033</t>
        </is>
      </c>
      <c r="B515" t="n">
        <v>2</v>
      </c>
      <c r="C515" t="inlineStr">
        <is>
          <t>Vágat</t>
        </is>
      </c>
    </row>
    <row r="516">
      <c r="A516" t="inlineStr">
        <is>
          <t>rsz-033</t>
        </is>
      </c>
      <c r="B516" t="n">
        <v>3</v>
      </c>
      <c r="C516" t="inlineStr">
        <is>
          <t>Tám</t>
        </is>
      </c>
    </row>
    <row r="517">
      <c r="A517" t="inlineStr">
        <is>
          <t>rsz-033</t>
        </is>
      </c>
      <c r="B517" t="n">
        <v>4</v>
      </c>
      <c r="C517" t="inlineStr">
        <is>
          <t>Zászlós</t>
        </is>
      </c>
    </row>
    <row r="518">
      <c r="A518" t="inlineStr">
        <is>
          <t>rsz-033</t>
        </is>
      </c>
      <c r="B518" t="n">
        <v>5</v>
      </c>
      <c r="C518" t="inlineStr">
        <is>
          <t>Triász</t>
        </is>
      </c>
    </row>
    <row r="519">
      <c r="A519" t="inlineStr">
        <is>
          <t>rsz-033</t>
        </is>
      </c>
      <c r="B519" t="n">
        <v>6</v>
      </c>
      <c r="C519" t="inlineStr">
        <is>
          <t>Kréta</t>
        </is>
      </c>
    </row>
    <row r="520">
      <c r="A520" t="inlineStr">
        <is>
          <t>rsz-033</t>
        </is>
      </c>
      <c r="B520" t="n">
        <v>7</v>
      </c>
      <c r="C520" t="inlineStr">
        <is>
          <t>Fagy</t>
        </is>
      </c>
    </row>
    <row r="521">
      <c r="A521" t="inlineStr">
        <is>
          <t>rsz-033</t>
        </is>
      </c>
      <c r="B521" t="n">
        <v>8</v>
      </c>
      <c r="C521" t="inlineStr">
        <is>
          <t>Perm</t>
        </is>
      </c>
    </row>
    <row r="522">
      <c r="A522" t="inlineStr">
        <is>
          <t>rsz-033</t>
        </is>
      </c>
      <c r="B522" t="n">
        <v>9</v>
      </c>
      <c r="C522" t="inlineStr">
        <is>
          <t>Súly</t>
        </is>
      </c>
    </row>
    <row r="523">
      <c r="A523" t="inlineStr">
        <is>
          <t>rsz-033</t>
        </is>
      </c>
      <c r="B523" t="n">
        <v>10</v>
      </c>
      <c r="C523" t="inlineStr">
        <is>
          <t>Tárna</t>
        </is>
      </c>
    </row>
    <row r="524">
      <c r="A524" t="inlineStr">
        <is>
          <t>rsz-033</t>
        </is>
      </c>
      <c r="B524" t="n">
        <v>11</v>
      </c>
      <c r="C524" t="inlineStr">
        <is>
          <t>Jura</t>
        </is>
      </c>
    </row>
    <row r="525">
      <c r="A525" t="inlineStr">
        <is>
          <t>rsz-033</t>
        </is>
      </c>
      <c r="B525" t="n">
        <v>12</v>
      </c>
      <c r="C525" t="inlineStr">
        <is>
          <t>Csille</t>
        </is>
      </c>
    </row>
    <row r="526">
      <c r="A526" t="inlineStr">
        <is>
          <t>rsz-033</t>
        </is>
      </c>
      <c r="B526" t="n">
        <v>13</v>
      </c>
      <c r="C526" t="inlineStr">
        <is>
          <t>Fejtés</t>
        </is>
      </c>
    </row>
    <row r="527">
      <c r="A527" t="inlineStr">
        <is>
          <t>rsz-033</t>
        </is>
      </c>
      <c r="B527" t="n">
        <v>14</v>
      </c>
      <c r="C527" t="inlineStr">
        <is>
          <t>Hadnagy</t>
        </is>
      </c>
    </row>
    <row r="528">
      <c r="A528" t="inlineStr">
        <is>
          <t>rsz-033</t>
        </is>
      </c>
      <c r="B528" t="n">
        <v>15</v>
      </c>
      <c r="C528" t="inlineStr">
        <is>
          <t>Őrmester</t>
        </is>
      </c>
    </row>
    <row r="529">
      <c r="A529" t="inlineStr">
        <is>
          <t>rsz-033</t>
        </is>
      </c>
      <c r="B529" t="n">
        <v>16</v>
      </c>
      <c r="C529" t="inlineStr">
        <is>
          <t>Vég</t>
        </is>
      </c>
    </row>
    <row r="530">
      <c r="A530" t="inlineStr">
        <is>
          <t>rsz-034</t>
        </is>
      </c>
      <c r="B530" t="n">
        <v>1</v>
      </c>
      <c r="C530" t="inlineStr">
        <is>
          <t>Tönk</t>
        </is>
      </c>
    </row>
    <row r="531">
      <c r="A531" t="inlineStr">
        <is>
          <t>rsz-034</t>
        </is>
      </c>
      <c r="B531" t="n">
        <v>2</v>
      </c>
      <c r="C531" t="inlineStr">
        <is>
          <t>Kalap</t>
        </is>
      </c>
    </row>
    <row r="532">
      <c r="A532" t="inlineStr">
        <is>
          <t>rsz-034</t>
        </is>
      </c>
      <c r="B532" t="n">
        <v>3</v>
      </c>
      <c r="C532" t="inlineStr">
        <is>
          <t>Oktáv</t>
        </is>
      </c>
    </row>
    <row r="533">
      <c r="A533" t="inlineStr">
        <is>
          <t>rsz-034</t>
        </is>
      </c>
      <c r="B533" t="n">
        <v>4</v>
      </c>
      <c r="C533" t="inlineStr">
        <is>
          <t>Spóra</t>
        </is>
      </c>
    </row>
    <row r="534">
      <c r="A534" t="inlineStr">
        <is>
          <t>rsz-034</t>
        </is>
      </c>
      <c r="B534" t="n">
        <v>5</v>
      </c>
      <c r="C534" t="inlineStr">
        <is>
          <t>Nem</t>
        </is>
      </c>
    </row>
    <row r="535">
      <c r="A535" t="inlineStr">
        <is>
          <t>rsz-034</t>
        </is>
      </c>
      <c r="B535" t="n">
        <v>6</v>
      </c>
      <c r="C535" t="inlineStr">
        <is>
          <t>Kvint</t>
        </is>
      </c>
    </row>
    <row r="536">
      <c r="A536" t="inlineStr">
        <is>
          <t>rsz-034</t>
        </is>
      </c>
      <c r="B536" t="n">
        <v>7</v>
      </c>
      <c r="C536" t="inlineStr">
        <is>
          <t>Terc</t>
        </is>
      </c>
    </row>
    <row r="537">
      <c r="A537" t="inlineStr">
        <is>
          <t>rsz-034</t>
        </is>
      </c>
      <c r="B537" t="n">
        <v>8</v>
      </c>
      <c r="C537" t="inlineStr">
        <is>
          <t>Osztály</t>
        </is>
      </c>
    </row>
    <row r="538">
      <c r="A538" t="inlineStr">
        <is>
          <t>rsz-034</t>
        </is>
      </c>
      <c r="B538" t="n">
        <v>9</v>
      </c>
      <c r="C538" t="inlineStr">
        <is>
          <t>Tölgy</t>
        </is>
      </c>
    </row>
    <row r="539">
      <c r="A539" t="inlineStr">
        <is>
          <t>rsz-034</t>
        </is>
      </c>
      <c r="B539" t="n">
        <v>10</v>
      </c>
      <c r="C539" t="inlineStr">
        <is>
          <t>Lemez</t>
        </is>
      </c>
    </row>
    <row r="540">
      <c r="A540" t="inlineStr">
        <is>
          <t>rsz-034</t>
        </is>
      </c>
      <c r="B540" t="n">
        <v>11</v>
      </c>
      <c r="C540" t="inlineStr">
        <is>
          <t>Juhar</t>
        </is>
      </c>
    </row>
    <row r="541">
      <c r="A541" t="inlineStr">
        <is>
          <t>rsz-034</t>
        </is>
      </c>
      <c r="B541" t="n">
        <v>12</v>
      </c>
      <c r="C541" t="inlineStr">
        <is>
          <t>Faj</t>
        </is>
      </c>
    </row>
    <row r="542">
      <c r="A542" t="inlineStr">
        <is>
          <t>rsz-034</t>
        </is>
      </c>
      <c r="B542" t="n">
        <v>13</v>
      </c>
      <c r="C542" t="inlineStr">
        <is>
          <t>Rend</t>
        </is>
      </c>
    </row>
    <row r="543">
      <c r="A543" t="inlineStr">
        <is>
          <t>rsz-034</t>
        </is>
      </c>
      <c r="B543" t="n">
        <v>14</v>
      </c>
      <c r="C543" t="inlineStr">
        <is>
          <t>Bükk</t>
        </is>
      </c>
    </row>
    <row r="544">
      <c r="A544" t="inlineStr">
        <is>
          <t>rsz-034</t>
        </is>
      </c>
      <c r="B544" t="n">
        <v>15</v>
      </c>
      <c r="C544" t="inlineStr">
        <is>
          <t>Nyír</t>
        </is>
      </c>
    </row>
    <row r="545">
      <c r="A545" t="inlineStr">
        <is>
          <t>rsz-034</t>
        </is>
      </c>
      <c r="B545" t="n">
        <v>16</v>
      </c>
      <c r="C545" t="inlineStr">
        <is>
          <t>Szekund</t>
        </is>
      </c>
    </row>
    <row r="546">
      <c r="A546" t="inlineStr">
        <is>
          <t>rsz-035</t>
        </is>
      </c>
      <c r="B546" t="n">
        <v>1</v>
      </c>
      <c r="C546" t="inlineStr">
        <is>
          <t>Flanel</t>
        </is>
      </c>
    </row>
    <row r="547">
      <c r="A547" t="inlineStr">
        <is>
          <t>rsz-035</t>
        </is>
      </c>
      <c r="B547" t="n">
        <v>2</v>
      </c>
      <c r="C547" t="inlineStr">
        <is>
          <t>Bolyai</t>
        </is>
      </c>
    </row>
    <row r="548">
      <c r="A548" t="inlineStr">
        <is>
          <t>rsz-035</t>
        </is>
      </c>
      <c r="B548" t="n">
        <v>3</v>
      </c>
      <c r="C548" t="inlineStr">
        <is>
          <t>Dér</t>
        </is>
      </c>
    </row>
    <row r="549">
      <c r="A549" t="inlineStr">
        <is>
          <t>rsz-035</t>
        </is>
      </c>
      <c r="B549" t="n">
        <v>4</v>
      </c>
      <c r="C549" t="inlineStr">
        <is>
          <t>Neumann</t>
        </is>
      </c>
    </row>
    <row r="550">
      <c r="A550" t="inlineStr">
        <is>
          <t>rsz-035</t>
        </is>
      </c>
      <c r="B550" t="n">
        <v>5</v>
      </c>
      <c r="C550" t="inlineStr">
        <is>
          <t>Riesz</t>
        </is>
      </c>
    </row>
    <row r="551">
      <c r="A551" t="inlineStr">
        <is>
          <t>rsz-035</t>
        </is>
      </c>
      <c r="B551" t="n">
        <v>6</v>
      </c>
      <c r="C551" t="inlineStr">
        <is>
          <t>Oláh</t>
        </is>
      </c>
    </row>
    <row r="552">
      <c r="A552" t="inlineStr">
        <is>
          <t>rsz-035</t>
        </is>
      </c>
      <c r="B552" t="n">
        <v>7</v>
      </c>
      <c r="C552" t="inlineStr">
        <is>
          <t>Köd</t>
        </is>
      </c>
    </row>
    <row r="553">
      <c r="A553" t="inlineStr">
        <is>
          <t>rsz-035</t>
        </is>
      </c>
      <c r="B553" t="n">
        <v>8</v>
      </c>
      <c r="C553" t="inlineStr">
        <is>
          <t>Zivatar</t>
        </is>
      </c>
    </row>
    <row r="554">
      <c r="A554" t="inlineStr">
        <is>
          <t>rsz-035</t>
        </is>
      </c>
      <c r="B554" t="n">
        <v>9</v>
      </c>
      <c r="C554" t="inlineStr">
        <is>
          <t>Jégeső</t>
        </is>
      </c>
    </row>
    <row r="555">
      <c r="A555" t="inlineStr">
        <is>
          <t>rsz-035</t>
        </is>
      </c>
      <c r="B555" t="n">
        <v>10</v>
      </c>
      <c r="C555" t="inlineStr">
        <is>
          <t>Erdős</t>
        </is>
      </c>
    </row>
    <row r="556">
      <c r="A556" t="inlineStr">
        <is>
          <t>rsz-035</t>
        </is>
      </c>
      <c r="B556" t="n">
        <v>11</v>
      </c>
      <c r="C556" t="inlineStr">
        <is>
          <t>Kertész</t>
        </is>
      </c>
    </row>
    <row r="557">
      <c r="A557" t="inlineStr">
        <is>
          <t>rsz-035</t>
        </is>
      </c>
      <c r="B557" t="n">
        <v>12</v>
      </c>
      <c r="C557" t="inlineStr">
        <is>
          <t>Wigner</t>
        </is>
      </c>
    </row>
    <row r="558">
      <c r="A558" t="inlineStr">
        <is>
          <t>rsz-035</t>
        </is>
      </c>
      <c r="B558" t="n">
        <v>13</v>
      </c>
      <c r="C558" t="inlineStr">
        <is>
          <t>Selyem</t>
        </is>
      </c>
    </row>
    <row r="559">
      <c r="A559" t="inlineStr">
        <is>
          <t>rsz-035</t>
        </is>
      </c>
      <c r="B559" t="n">
        <v>14</v>
      </c>
      <c r="C559" t="inlineStr">
        <is>
          <t>Gábor</t>
        </is>
      </c>
    </row>
    <row r="560">
      <c r="A560" t="inlineStr">
        <is>
          <t>rsz-035</t>
        </is>
      </c>
      <c r="B560" t="n">
        <v>15</v>
      </c>
      <c r="C560" t="inlineStr">
        <is>
          <t>Vászon</t>
        </is>
      </c>
    </row>
    <row r="561">
      <c r="A561" t="inlineStr">
        <is>
          <t>rsz-035</t>
        </is>
      </c>
      <c r="B561" t="n">
        <v>16</v>
      </c>
      <c r="C561" t="inlineStr">
        <is>
          <t>Bársony</t>
        </is>
      </c>
    </row>
    <row r="562">
      <c r="A562" t="inlineStr">
        <is>
          <t>rsz-036</t>
        </is>
      </c>
      <c r="B562" t="n">
        <v>1</v>
      </c>
      <c r="C562" t="inlineStr">
        <is>
          <t>Nyúltvelő</t>
        </is>
      </c>
    </row>
    <row r="563">
      <c r="A563" t="inlineStr">
        <is>
          <t>rsz-036</t>
        </is>
      </c>
      <c r="B563" t="n">
        <v>2</v>
      </c>
      <c r="C563" t="inlineStr">
        <is>
          <t>Kisagy</t>
        </is>
      </c>
    </row>
    <row r="564">
      <c r="A564" t="inlineStr">
        <is>
          <t>rsz-036</t>
        </is>
      </c>
      <c r="B564" t="n">
        <v>3</v>
      </c>
      <c r="C564" t="inlineStr">
        <is>
          <t>Pellagra</t>
        </is>
      </c>
    </row>
    <row r="565">
      <c r="A565" t="inlineStr">
        <is>
          <t>rsz-036</t>
        </is>
      </c>
      <c r="B565" t="n">
        <v>4</v>
      </c>
      <c r="C565" t="inlineStr">
        <is>
          <t>Tabletta</t>
        </is>
      </c>
    </row>
    <row r="566">
      <c r="A566" t="inlineStr">
        <is>
          <t>rsz-036</t>
        </is>
      </c>
      <c r="B566" t="n">
        <v>5</v>
      </c>
      <c r="C566" t="inlineStr">
        <is>
          <t>Dukát</t>
        </is>
      </c>
    </row>
    <row r="567">
      <c r="A567" t="inlineStr">
        <is>
          <t>rsz-036</t>
        </is>
      </c>
      <c r="B567" t="n">
        <v>6</v>
      </c>
      <c r="C567" t="inlineStr">
        <is>
          <t>Skorbut</t>
        </is>
      </c>
    </row>
    <row r="568">
      <c r="A568" t="inlineStr">
        <is>
          <t>rsz-036</t>
        </is>
      </c>
      <c r="B568" t="n">
        <v>7</v>
      </c>
      <c r="C568" t="inlineStr">
        <is>
          <t>Garas</t>
        </is>
      </c>
    </row>
    <row r="569">
      <c r="A569" t="inlineStr">
        <is>
          <t>rsz-036</t>
        </is>
      </c>
      <c r="B569" t="n">
        <v>8</v>
      </c>
      <c r="C569" t="inlineStr">
        <is>
          <t>Angolkór</t>
        </is>
      </c>
    </row>
    <row r="570">
      <c r="A570" t="inlineStr">
        <is>
          <t>rsz-036</t>
        </is>
      </c>
      <c r="B570" t="n">
        <v>9</v>
      </c>
      <c r="C570" t="inlineStr">
        <is>
          <t>Peták</t>
        </is>
      </c>
    </row>
    <row r="571">
      <c r="A571" t="inlineStr">
        <is>
          <t>rsz-036</t>
        </is>
      </c>
      <c r="B571" t="n">
        <v>10</v>
      </c>
      <c r="C571" t="inlineStr">
        <is>
          <t>Kúp</t>
        </is>
      </c>
    </row>
    <row r="572">
      <c r="A572" t="inlineStr">
        <is>
          <t>rsz-036</t>
        </is>
      </c>
      <c r="B572" t="n">
        <v>11</v>
      </c>
      <c r="C572" t="inlineStr">
        <is>
          <t>Recept</t>
        </is>
      </c>
    </row>
    <row r="573">
      <c r="A573" t="inlineStr">
        <is>
          <t>rsz-036</t>
        </is>
      </c>
      <c r="B573" t="n">
        <v>12</v>
      </c>
      <c r="C573" t="inlineStr">
        <is>
          <t>Híd</t>
        </is>
      </c>
    </row>
    <row r="574">
      <c r="A574" t="inlineStr">
        <is>
          <t>rsz-036</t>
        </is>
      </c>
      <c r="B574" t="n">
        <v>13</v>
      </c>
      <c r="C574" t="inlineStr">
        <is>
          <t>Beriberi</t>
        </is>
      </c>
    </row>
    <row r="575">
      <c r="A575" t="inlineStr">
        <is>
          <t>rsz-036</t>
        </is>
      </c>
      <c r="B575" t="n">
        <v>14</v>
      </c>
      <c r="C575" t="inlineStr">
        <is>
          <t>Talamusz</t>
        </is>
      </c>
    </row>
    <row r="576">
      <c r="A576" t="inlineStr">
        <is>
          <t>rsz-036</t>
        </is>
      </c>
      <c r="B576" t="n">
        <v>15</v>
      </c>
      <c r="C576" t="inlineStr">
        <is>
          <t>Kenőcs</t>
        </is>
      </c>
    </row>
    <row r="577">
      <c r="A577" t="inlineStr">
        <is>
          <t>rsz-036</t>
        </is>
      </c>
      <c r="B577" t="n">
        <v>16</v>
      </c>
      <c r="C577" t="inlineStr">
        <is>
          <t>Fillér</t>
        </is>
      </c>
    </row>
    <row r="578">
      <c r="A578" t="inlineStr">
        <is>
          <t>rsz-037</t>
        </is>
      </c>
      <c r="B578" t="n">
        <v>1</v>
      </c>
      <c r="C578" t="inlineStr">
        <is>
          <t>Zongora</t>
        </is>
      </c>
    </row>
    <row r="579">
      <c r="A579" t="inlineStr">
        <is>
          <t>rsz-037</t>
        </is>
      </c>
      <c r="B579" t="n">
        <v>2</v>
      </c>
      <c r="C579" t="inlineStr">
        <is>
          <t>Rovar</t>
        </is>
      </c>
    </row>
    <row r="580">
      <c r="A580" t="inlineStr">
        <is>
          <t>rsz-037</t>
        </is>
      </c>
      <c r="B580" t="n">
        <v>3</v>
      </c>
      <c r="C580" t="inlineStr">
        <is>
          <t>Asztúr</t>
        </is>
      </c>
    </row>
    <row r="581">
      <c r="A581" t="inlineStr">
        <is>
          <t>rsz-037</t>
        </is>
      </c>
      <c r="B581" t="n">
        <v>4</v>
      </c>
      <c r="C581" t="inlineStr">
        <is>
          <t>Mérnök</t>
        </is>
      </c>
    </row>
    <row r="582">
      <c r="A582" t="inlineStr">
        <is>
          <t>rsz-037</t>
        </is>
      </c>
      <c r="B582" t="n">
        <v>5</v>
      </c>
      <c r="C582" t="inlineStr">
        <is>
          <t>Árpád</t>
        </is>
      </c>
    </row>
    <row r="583">
      <c r="A583" t="inlineStr">
        <is>
          <t>rsz-037</t>
        </is>
      </c>
      <c r="B583" t="n">
        <v>6</v>
      </c>
      <c r="C583" t="inlineStr">
        <is>
          <t>Jagelló</t>
        </is>
      </c>
    </row>
    <row r="584">
      <c r="A584" t="inlineStr">
        <is>
          <t>rsz-037</t>
        </is>
      </c>
      <c r="B584" t="n">
        <v>7</v>
      </c>
      <c r="C584" t="inlineStr">
        <is>
          <t>Habsburg</t>
        </is>
      </c>
    </row>
    <row r="585">
      <c r="A585" t="inlineStr">
        <is>
          <t>rsz-037</t>
        </is>
      </c>
      <c r="B585" t="n">
        <v>8</v>
      </c>
      <c r="C585" t="inlineStr">
        <is>
          <t>Galego</t>
        </is>
      </c>
    </row>
    <row r="586">
      <c r="A586" t="inlineStr">
        <is>
          <t>rsz-037</t>
        </is>
      </c>
      <c r="B586" t="n">
        <v>9</v>
      </c>
      <c r="C586" t="inlineStr">
        <is>
          <t>Évszak</t>
        </is>
      </c>
    </row>
    <row r="587">
      <c r="A587" t="inlineStr">
        <is>
          <t>rsz-037</t>
        </is>
      </c>
      <c r="B587" t="n">
        <v>10</v>
      </c>
      <c r="C587" t="inlineStr">
        <is>
          <t>Anjou</t>
        </is>
      </c>
    </row>
    <row r="588">
      <c r="A588" t="inlineStr">
        <is>
          <t>rsz-037</t>
        </is>
      </c>
      <c r="B588" t="n">
        <v>11</v>
      </c>
      <c r="C588" t="inlineStr">
        <is>
          <t>Pont</t>
        </is>
      </c>
    </row>
    <row r="589">
      <c r="A589" t="inlineStr">
        <is>
          <t>rsz-037</t>
        </is>
      </c>
      <c r="B589" t="n">
        <v>12</v>
      </c>
      <c r="C589" t="inlineStr">
        <is>
          <t>Baszk</t>
        </is>
      </c>
    </row>
    <row r="590">
      <c r="A590" t="inlineStr">
        <is>
          <t>rsz-037</t>
        </is>
      </c>
      <c r="B590" t="n">
        <v>13</v>
      </c>
      <c r="C590" t="inlineStr">
        <is>
          <t>Zárójel</t>
        </is>
      </c>
    </row>
    <row r="591">
      <c r="A591" t="inlineStr">
        <is>
          <t>rsz-037</t>
        </is>
      </c>
      <c r="B591" t="n">
        <v>14</v>
      </c>
      <c r="C591" t="inlineStr">
        <is>
          <t>Katalán</t>
        </is>
      </c>
    </row>
    <row r="592">
      <c r="A592" t="inlineStr">
        <is>
          <t>rsz-037</t>
        </is>
      </c>
      <c r="B592" t="n">
        <v>15</v>
      </c>
      <c r="C592" t="inlineStr">
        <is>
          <t>Vessző</t>
        </is>
      </c>
    </row>
    <row r="593">
      <c r="A593" t="inlineStr">
        <is>
          <t>rsz-037</t>
        </is>
      </c>
      <c r="B593" t="n">
        <v>16</v>
      </c>
      <c r="C593" t="inlineStr">
        <is>
          <t>Aposztróf</t>
        </is>
      </c>
    </row>
    <row r="594">
      <c r="A594" t="inlineStr">
        <is>
          <t>rsz-038</t>
        </is>
      </c>
      <c r="B594" t="n">
        <v>1</v>
      </c>
      <c r="C594" t="inlineStr">
        <is>
          <t>Jancsó</t>
        </is>
      </c>
    </row>
    <row r="595">
      <c r="A595" t="inlineStr">
        <is>
          <t>rsz-038</t>
        </is>
      </c>
      <c r="B595" t="n">
        <v>2</v>
      </c>
      <c r="C595" t="inlineStr">
        <is>
          <t>Légnemű</t>
        </is>
      </c>
    </row>
    <row r="596">
      <c r="A596" t="inlineStr">
        <is>
          <t>rsz-038</t>
        </is>
      </c>
      <c r="B596" t="n">
        <v>3</v>
      </c>
      <c r="C596" t="inlineStr">
        <is>
          <t>Szilárd</t>
        </is>
      </c>
    </row>
    <row r="597">
      <c r="A597" t="inlineStr">
        <is>
          <t>rsz-038</t>
        </is>
      </c>
      <c r="B597" t="n">
        <v>4</v>
      </c>
      <c r="C597" t="inlineStr">
        <is>
          <t>Juhfark</t>
        </is>
      </c>
    </row>
    <row r="598">
      <c r="A598" t="inlineStr">
        <is>
          <t>rsz-038</t>
        </is>
      </c>
      <c r="B598" t="n">
        <v>5</v>
      </c>
      <c r="C598" t="inlineStr">
        <is>
          <t>Balaton</t>
        </is>
      </c>
    </row>
    <row r="599">
      <c r="A599" t="inlineStr">
        <is>
          <t>rsz-038</t>
        </is>
      </c>
      <c r="B599" t="n">
        <v>6</v>
      </c>
      <c r="C599" t="inlineStr">
        <is>
          <t>Fertő</t>
        </is>
      </c>
    </row>
    <row r="600">
      <c r="A600" t="inlineStr">
        <is>
          <t>rsz-038</t>
        </is>
      </c>
      <c r="B600" t="n">
        <v>7</v>
      </c>
      <c r="C600" t="inlineStr">
        <is>
          <t>Hévíz</t>
        </is>
      </c>
    </row>
    <row r="601">
      <c r="A601" t="inlineStr">
        <is>
          <t>rsz-038</t>
        </is>
      </c>
      <c r="B601" t="n">
        <v>8</v>
      </c>
      <c r="C601" t="inlineStr">
        <is>
          <t>Kadarka</t>
        </is>
      </c>
    </row>
    <row r="602">
      <c r="A602" t="inlineStr">
        <is>
          <t>rsz-038</t>
        </is>
      </c>
      <c r="B602" t="n">
        <v>9</v>
      </c>
      <c r="C602" t="inlineStr">
        <is>
          <t>Tarr</t>
        </is>
      </c>
    </row>
    <row r="603">
      <c r="A603" t="inlineStr">
        <is>
          <t>rsz-038</t>
        </is>
      </c>
      <c r="B603" t="n">
        <v>10</v>
      </c>
      <c r="C603" t="inlineStr">
        <is>
          <t>Szabó</t>
        </is>
      </c>
    </row>
    <row r="604">
      <c r="A604" t="inlineStr">
        <is>
          <t>rsz-038</t>
        </is>
      </c>
      <c r="B604" t="n">
        <v>11</v>
      </c>
      <c r="C604" t="inlineStr">
        <is>
          <t>Enyedi</t>
        </is>
      </c>
    </row>
    <row r="605">
      <c r="A605" t="inlineStr">
        <is>
          <t>rsz-038</t>
        </is>
      </c>
      <c r="B605" t="n">
        <v>12</v>
      </c>
      <c r="C605" t="inlineStr">
        <is>
          <t>Velencei</t>
        </is>
      </c>
    </row>
    <row r="606">
      <c r="A606" t="inlineStr">
        <is>
          <t>rsz-038</t>
        </is>
      </c>
      <c r="B606" t="n">
        <v>13</v>
      </c>
      <c r="C606" t="inlineStr">
        <is>
          <t>Plazma</t>
        </is>
      </c>
    </row>
    <row r="607">
      <c r="A607" t="inlineStr">
        <is>
          <t>rsz-038</t>
        </is>
      </c>
      <c r="B607" t="n">
        <v>14</v>
      </c>
      <c r="C607" t="inlineStr">
        <is>
          <t>Folyékony</t>
        </is>
      </c>
    </row>
    <row r="608">
      <c r="A608" t="inlineStr">
        <is>
          <t>rsz-038</t>
        </is>
      </c>
      <c r="B608" t="n">
        <v>15</v>
      </c>
      <c r="C608" t="inlineStr">
        <is>
          <t>Furmint</t>
        </is>
      </c>
    </row>
    <row r="609">
      <c r="A609" t="inlineStr">
        <is>
          <t>rsz-038</t>
        </is>
      </c>
      <c r="B609" t="n">
        <v>16</v>
      </c>
      <c r="C609" t="inlineStr">
        <is>
          <t>Ezerjó</t>
        </is>
      </c>
    </row>
    <row r="610">
      <c r="A610" t="inlineStr">
        <is>
          <t>rsz-039</t>
        </is>
      </c>
      <c r="B610" t="n">
        <v>1</v>
      </c>
      <c r="C610" t="inlineStr">
        <is>
          <t>Tokaj</t>
        </is>
      </c>
    </row>
    <row r="611">
      <c r="A611" t="inlineStr">
        <is>
          <t>rsz-039</t>
        </is>
      </c>
      <c r="B611" t="n">
        <v>2</v>
      </c>
      <c r="C611" t="inlineStr">
        <is>
          <t>Alabárd</t>
        </is>
      </c>
    </row>
    <row r="612">
      <c r="A612" t="inlineStr">
        <is>
          <t>rsz-039</t>
        </is>
      </c>
      <c r="B612" t="n">
        <v>3</v>
      </c>
      <c r="C612" t="inlineStr">
        <is>
          <t>Nyék</t>
        </is>
      </c>
    </row>
    <row r="613">
      <c r="A613" t="inlineStr">
        <is>
          <t>rsz-039</t>
        </is>
      </c>
      <c r="B613" t="n">
        <v>4</v>
      </c>
      <c r="C613" t="inlineStr">
        <is>
          <t>Aggtelek</t>
        </is>
      </c>
    </row>
    <row r="614">
      <c r="A614" t="inlineStr">
        <is>
          <t>rsz-039</t>
        </is>
      </c>
      <c r="B614" t="n">
        <v>5</v>
      </c>
      <c r="C614" t="inlineStr">
        <is>
          <t>Buzogány</t>
        </is>
      </c>
    </row>
    <row r="615">
      <c r="A615" t="inlineStr">
        <is>
          <t>rsz-039</t>
        </is>
      </c>
      <c r="B615" t="n">
        <v>6</v>
      </c>
      <c r="C615" t="inlineStr">
        <is>
          <t>Tarján</t>
        </is>
      </c>
    </row>
    <row r="616">
      <c r="A616" t="inlineStr">
        <is>
          <t>rsz-039</t>
        </is>
      </c>
      <c r="B616" t="n">
        <v>7</v>
      </c>
      <c r="C616" t="inlineStr">
        <is>
          <t>Tündér</t>
        </is>
      </c>
    </row>
    <row r="617">
      <c r="A617" t="inlineStr">
        <is>
          <t>rsz-039</t>
        </is>
      </c>
      <c r="B617" t="n">
        <v>8</v>
      </c>
      <c r="C617" t="inlineStr">
        <is>
          <t>Szablya</t>
        </is>
      </c>
    </row>
    <row r="618">
      <c r="A618" t="inlineStr">
        <is>
          <t>rsz-039</t>
        </is>
      </c>
      <c r="B618" t="n">
        <v>9</v>
      </c>
      <c r="C618" t="inlineStr">
        <is>
          <t>Manó</t>
        </is>
      </c>
    </row>
    <row r="619">
      <c r="A619" t="inlineStr">
        <is>
          <t>rsz-039</t>
        </is>
      </c>
      <c r="B619" t="n">
        <v>10</v>
      </c>
      <c r="C619" t="inlineStr">
        <is>
          <t>Táltos</t>
        </is>
      </c>
    </row>
    <row r="620">
      <c r="A620" t="inlineStr">
        <is>
          <t>rsz-039</t>
        </is>
      </c>
      <c r="B620" t="n">
        <v>11</v>
      </c>
      <c r="C620" t="inlineStr">
        <is>
          <t>Jenő</t>
        </is>
      </c>
    </row>
    <row r="621">
      <c r="A621" t="inlineStr">
        <is>
          <t>rsz-039</t>
        </is>
      </c>
      <c r="B621" t="n">
        <v>12</v>
      </c>
      <c r="C621" t="inlineStr">
        <is>
          <t>Óriás</t>
        </is>
      </c>
    </row>
    <row r="622">
      <c r="A622" t="inlineStr">
        <is>
          <t>rsz-039</t>
        </is>
      </c>
      <c r="B622" t="n">
        <v>13</v>
      </c>
      <c r="C622" t="inlineStr">
        <is>
          <t>Hortobágy</t>
        </is>
      </c>
    </row>
    <row r="623">
      <c r="A623" t="inlineStr">
        <is>
          <t>rsz-039</t>
        </is>
      </c>
      <c r="B623" t="n">
        <v>14</v>
      </c>
      <c r="C623" t="inlineStr">
        <is>
          <t>Megyer</t>
        </is>
      </c>
    </row>
    <row r="624">
      <c r="A624" t="inlineStr">
        <is>
          <t>rsz-039</t>
        </is>
      </c>
      <c r="B624" t="n">
        <v>15</v>
      </c>
      <c r="C624" t="inlineStr">
        <is>
          <t>Íj</t>
        </is>
      </c>
    </row>
    <row r="625">
      <c r="A625" t="inlineStr">
        <is>
          <t>rsz-039</t>
        </is>
      </c>
      <c r="B625" t="n">
        <v>16</v>
      </c>
      <c r="C625" t="inlineStr">
        <is>
          <t>Hollókő</t>
        </is>
      </c>
    </row>
    <row r="626">
      <c r="A626" t="inlineStr">
        <is>
          <t>rsz-040</t>
        </is>
      </c>
      <c r="B626" t="n">
        <v>1</v>
      </c>
      <c r="C626" t="inlineStr">
        <is>
          <t>Váltó</t>
        </is>
      </c>
    </row>
    <row r="627">
      <c r="A627" t="inlineStr">
        <is>
          <t>rsz-040</t>
        </is>
      </c>
      <c r="B627" t="n">
        <v>2</v>
      </c>
      <c r="C627" t="inlineStr">
        <is>
          <t>Csekk</t>
        </is>
      </c>
    </row>
    <row r="628">
      <c r="A628" t="inlineStr">
        <is>
          <t>rsz-040</t>
        </is>
      </c>
      <c r="B628" t="n">
        <v>3</v>
      </c>
      <c r="C628" t="inlineStr">
        <is>
          <t>Vám</t>
        </is>
      </c>
    </row>
    <row r="629">
      <c r="A629" t="inlineStr">
        <is>
          <t>rsz-040</t>
        </is>
      </c>
      <c r="B629" t="n">
        <v>4</v>
      </c>
      <c r="C629" t="inlineStr">
        <is>
          <t>Gömb</t>
        </is>
      </c>
    </row>
    <row r="630">
      <c r="A630" t="inlineStr">
        <is>
          <t>rsz-040</t>
        </is>
      </c>
      <c r="B630" t="n">
        <v>5</v>
      </c>
      <c r="C630" t="inlineStr">
        <is>
          <t>Módusz</t>
        </is>
      </c>
    </row>
    <row r="631">
      <c r="A631" t="inlineStr">
        <is>
          <t>rsz-040</t>
        </is>
      </c>
      <c r="B631" t="n">
        <v>6</v>
      </c>
      <c r="C631" t="inlineStr">
        <is>
          <t>Illeték</t>
        </is>
      </c>
    </row>
    <row r="632">
      <c r="A632" t="inlineStr">
        <is>
          <t>rsz-040</t>
        </is>
      </c>
      <c r="B632" t="n">
        <v>7</v>
      </c>
      <c r="C632" t="inlineStr">
        <is>
          <t>Terjedelem</t>
        </is>
      </c>
    </row>
    <row r="633">
      <c r="A633" t="inlineStr">
        <is>
          <t>rsz-040</t>
        </is>
      </c>
      <c r="B633" t="n">
        <v>8</v>
      </c>
      <c r="C633" t="inlineStr">
        <is>
          <t>Nyugta</t>
        </is>
      </c>
    </row>
    <row r="634">
      <c r="A634" t="inlineStr">
        <is>
          <t>rsz-040</t>
        </is>
      </c>
      <c r="B634" t="n">
        <v>9</v>
      </c>
      <c r="C634" t="inlineStr">
        <is>
          <t>Henger</t>
        </is>
      </c>
    </row>
    <row r="635">
      <c r="A635" t="inlineStr">
        <is>
          <t>rsz-040</t>
        </is>
      </c>
      <c r="B635" t="n">
        <v>10</v>
      </c>
      <c r="C635" t="inlineStr">
        <is>
          <t>Medián</t>
        </is>
      </c>
    </row>
    <row r="636">
      <c r="A636" t="inlineStr">
        <is>
          <t>rsz-040</t>
        </is>
      </c>
      <c r="B636" t="n">
        <v>11</v>
      </c>
      <c r="C636" t="inlineStr">
        <is>
          <t>Szja</t>
        </is>
      </c>
    </row>
    <row r="637">
      <c r="A637" t="inlineStr">
        <is>
          <t>rsz-040</t>
        </is>
      </c>
      <c r="B637" t="n">
        <v>12</v>
      </c>
      <c r="C637" t="inlineStr">
        <is>
          <t>Kúp</t>
        </is>
      </c>
    </row>
    <row r="638">
      <c r="A638" t="inlineStr">
        <is>
          <t>rsz-040</t>
        </is>
      </c>
      <c r="B638" t="n">
        <v>13</v>
      </c>
      <c r="C638" t="inlineStr">
        <is>
          <t>Áfa</t>
        </is>
      </c>
    </row>
    <row r="639">
      <c r="A639" t="inlineStr">
        <is>
          <t>rsz-040</t>
        </is>
      </c>
      <c r="B639" t="n">
        <v>14</v>
      </c>
      <c r="C639" t="inlineStr">
        <is>
          <t>Szórás</t>
        </is>
      </c>
    </row>
    <row r="640">
      <c r="A640" t="inlineStr">
        <is>
          <t>rsz-040</t>
        </is>
      </c>
      <c r="B640" t="n">
        <v>15</v>
      </c>
      <c r="C640" t="inlineStr">
        <is>
          <t>Hasáb</t>
        </is>
      </c>
    </row>
    <row r="641">
      <c r="A641" t="inlineStr">
        <is>
          <t>rsz-040</t>
        </is>
      </c>
      <c r="B641" t="n">
        <v>16</v>
      </c>
      <c r="C641" t="inlineStr">
        <is>
          <t>Kötvény</t>
        </is>
      </c>
    </row>
    <row r="642">
      <c r="A642" t="inlineStr">
        <is>
          <t>rsz-041</t>
        </is>
      </c>
      <c r="B642" t="n">
        <v>1</v>
      </c>
      <c r="C642" t="inlineStr">
        <is>
          <t>Díszlet</t>
        </is>
      </c>
    </row>
    <row r="643">
      <c r="A643" t="inlineStr">
        <is>
          <t>rsz-041</t>
        </is>
      </c>
      <c r="B643" t="n">
        <v>2</v>
      </c>
      <c r="C643" t="inlineStr">
        <is>
          <t>Szonett</t>
        </is>
      </c>
    </row>
    <row r="644">
      <c r="A644" t="inlineStr">
        <is>
          <t>rsz-041</t>
        </is>
      </c>
      <c r="B644" t="n">
        <v>3</v>
      </c>
      <c r="C644" t="inlineStr">
        <is>
          <t>Pillér</t>
        </is>
      </c>
    </row>
    <row r="645">
      <c r="A645" t="inlineStr">
        <is>
          <t>rsz-041</t>
        </is>
      </c>
      <c r="B645" t="n">
        <v>4</v>
      </c>
      <c r="C645" t="inlineStr">
        <is>
          <t>Főnév</t>
        </is>
      </c>
    </row>
    <row r="646">
      <c r="A646" t="inlineStr">
        <is>
          <t>rsz-041</t>
        </is>
      </c>
      <c r="B646" t="n">
        <v>5</v>
      </c>
      <c r="C646" t="inlineStr">
        <is>
          <t>Oromzat</t>
        </is>
      </c>
    </row>
    <row r="647">
      <c r="A647" t="inlineStr">
        <is>
          <t>rsz-041</t>
        </is>
      </c>
      <c r="B647" t="n">
        <v>6</v>
      </c>
      <c r="C647" t="inlineStr">
        <is>
          <t>Ige</t>
        </is>
      </c>
    </row>
    <row r="648">
      <c r="A648" t="inlineStr">
        <is>
          <t>rsz-041</t>
        </is>
      </c>
      <c r="B648" t="n">
        <v>7</v>
      </c>
      <c r="C648" t="inlineStr">
        <is>
          <t>Boltív</t>
        </is>
      </c>
    </row>
    <row r="649">
      <c r="A649" t="inlineStr">
        <is>
          <t>rsz-041</t>
        </is>
      </c>
      <c r="B649" t="n">
        <v>8</v>
      </c>
      <c r="C649" t="inlineStr">
        <is>
          <t>Kötőszó</t>
        </is>
      </c>
    </row>
    <row r="650">
      <c r="A650" t="inlineStr">
        <is>
          <t>rsz-041</t>
        </is>
      </c>
      <c r="B650" t="n">
        <v>9</v>
      </c>
      <c r="C650" t="inlineStr">
        <is>
          <t>Súgó</t>
        </is>
      </c>
    </row>
    <row r="651">
      <c r="A651" t="inlineStr">
        <is>
          <t>rsz-041</t>
        </is>
      </c>
      <c r="B651" t="n">
        <v>10</v>
      </c>
      <c r="C651" t="inlineStr">
        <is>
          <t>Kulissza</t>
        </is>
      </c>
    </row>
    <row r="652">
      <c r="A652" t="inlineStr">
        <is>
          <t>rsz-041</t>
        </is>
      </c>
      <c r="B652" t="n">
        <v>11</v>
      </c>
      <c r="C652" t="inlineStr">
        <is>
          <t>Eposz</t>
        </is>
      </c>
    </row>
    <row r="653">
      <c r="A653" t="inlineStr">
        <is>
          <t>rsz-041</t>
        </is>
      </c>
      <c r="B653" t="n">
        <v>12</v>
      </c>
      <c r="C653" t="inlineStr">
        <is>
          <t>Felvonás</t>
        </is>
      </c>
    </row>
    <row r="654">
      <c r="A654" t="inlineStr">
        <is>
          <t>rsz-041</t>
        </is>
      </c>
      <c r="B654" t="n">
        <v>13</v>
      </c>
      <c r="C654" t="inlineStr">
        <is>
          <t>Ballada</t>
        </is>
      </c>
    </row>
    <row r="655">
      <c r="A655" t="inlineStr">
        <is>
          <t>rsz-041</t>
        </is>
      </c>
      <c r="B655" t="n">
        <v>14</v>
      </c>
      <c r="C655" t="inlineStr">
        <is>
          <t>Zsalu</t>
        </is>
      </c>
    </row>
    <row r="656">
      <c r="A656" t="inlineStr">
        <is>
          <t>rsz-041</t>
        </is>
      </c>
      <c r="B656" t="n">
        <v>15</v>
      </c>
      <c r="C656" t="inlineStr">
        <is>
          <t>Elégia</t>
        </is>
      </c>
    </row>
    <row r="657">
      <c r="A657" t="inlineStr">
        <is>
          <t>rsz-041</t>
        </is>
      </c>
      <c r="B657" t="n">
        <v>16</v>
      </c>
      <c r="C657" t="inlineStr">
        <is>
          <t>Névmás</t>
        </is>
      </c>
    </row>
    <row r="658">
      <c r="A658" t="inlineStr">
        <is>
          <t>rsz-042</t>
        </is>
      </c>
      <c r="B658" t="n">
        <v>1</v>
      </c>
      <c r="C658" t="inlineStr">
        <is>
          <t>Hágóvas</t>
        </is>
      </c>
    </row>
    <row r="659">
      <c r="A659" t="inlineStr">
        <is>
          <t>rsz-042</t>
        </is>
      </c>
      <c r="B659" t="n">
        <v>2</v>
      </c>
      <c r="C659" t="inlineStr">
        <is>
          <t>Cseppkő</t>
        </is>
      </c>
    </row>
    <row r="660">
      <c r="A660" t="inlineStr">
        <is>
          <t>rsz-042</t>
        </is>
      </c>
      <c r="B660" t="n">
        <v>3</v>
      </c>
      <c r="C660" t="inlineStr">
        <is>
          <t>Jelenkor</t>
        </is>
      </c>
    </row>
    <row r="661">
      <c r="A661" t="inlineStr">
        <is>
          <t>rsz-042</t>
        </is>
      </c>
      <c r="B661" t="n">
        <v>4</v>
      </c>
      <c r="C661" t="inlineStr">
        <is>
          <t>Holmi</t>
        </is>
      </c>
    </row>
    <row r="662">
      <c r="A662" t="inlineStr">
        <is>
          <t>rsz-042</t>
        </is>
      </c>
      <c r="B662" t="n">
        <v>5</v>
      </c>
      <c r="C662" t="inlineStr">
        <is>
          <t>Kürtő</t>
        </is>
      </c>
    </row>
    <row r="663">
      <c r="A663" t="inlineStr">
        <is>
          <t>rsz-042</t>
        </is>
      </c>
      <c r="B663" t="n">
        <v>6</v>
      </c>
      <c r="C663" t="inlineStr">
        <is>
          <t>Kötél</t>
        </is>
      </c>
    </row>
    <row r="664">
      <c r="A664" t="inlineStr">
        <is>
          <t>rsz-042</t>
        </is>
      </c>
      <c r="B664" t="n">
        <v>7</v>
      </c>
      <c r="C664" t="inlineStr">
        <is>
          <t>Genom</t>
        </is>
      </c>
    </row>
    <row r="665">
      <c r="A665" t="inlineStr">
        <is>
          <t>rsz-042</t>
        </is>
      </c>
      <c r="B665" t="n">
        <v>8</v>
      </c>
      <c r="C665" t="inlineStr">
        <is>
          <t>Karabiner</t>
        </is>
      </c>
    </row>
    <row r="666">
      <c r="A666" t="inlineStr">
        <is>
          <t>rsz-042</t>
        </is>
      </c>
      <c r="B666" t="n">
        <v>9</v>
      </c>
      <c r="C666" t="inlineStr">
        <is>
          <t>Nyugat</t>
        </is>
      </c>
    </row>
    <row r="667">
      <c r="A667" t="inlineStr">
        <is>
          <t>rsz-042</t>
        </is>
      </c>
      <c r="B667" t="n">
        <v>10</v>
      </c>
      <c r="C667" t="inlineStr">
        <is>
          <t>Kortárs</t>
        </is>
      </c>
    </row>
    <row r="668">
      <c r="A668" t="inlineStr">
        <is>
          <t>rsz-042</t>
        </is>
      </c>
      <c r="B668" t="n">
        <v>11</v>
      </c>
      <c r="C668" t="inlineStr">
        <is>
          <t>Terem</t>
        </is>
      </c>
    </row>
    <row r="669">
      <c r="A669" t="inlineStr">
        <is>
          <t>rsz-042</t>
        </is>
      </c>
      <c r="B669" t="n">
        <v>12</v>
      </c>
      <c r="C669" t="inlineStr">
        <is>
          <t>Szifon</t>
        </is>
      </c>
    </row>
    <row r="670">
      <c r="A670" t="inlineStr">
        <is>
          <t>rsz-042</t>
        </is>
      </c>
      <c r="B670" t="n">
        <v>13</v>
      </c>
      <c r="C670" t="inlineStr">
        <is>
          <t>Mutáció</t>
        </is>
      </c>
    </row>
    <row r="671">
      <c r="A671" t="inlineStr">
        <is>
          <t>rsz-042</t>
        </is>
      </c>
      <c r="B671" t="n">
        <v>14</v>
      </c>
      <c r="C671" t="inlineStr">
        <is>
          <t>Klón</t>
        </is>
      </c>
    </row>
    <row r="672">
      <c r="A672" t="inlineStr">
        <is>
          <t>rsz-042</t>
        </is>
      </c>
      <c r="B672" t="n">
        <v>15</v>
      </c>
      <c r="C672" t="inlineStr">
        <is>
          <t>Sisak</t>
        </is>
      </c>
    </row>
    <row r="673">
      <c r="A673" t="inlineStr">
        <is>
          <t>rsz-042</t>
        </is>
      </c>
      <c r="B673" t="n">
        <v>16</v>
      </c>
      <c r="C673" t="inlineStr">
        <is>
          <t>Gén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Normal="100" workbookViewId="0">
      <selection activeCell="B3" sqref="B3"/>
    </sheetView>
  </sheetViews>
  <sheetFormatPr baseColWidth="8" defaultColWidth="8.6640625" defaultRowHeight="14.4"/>
  <cols>
    <col width="16" customWidth="1" min="1" max="1"/>
    <col width="40" customWidth="1" min="2" max="2"/>
    <col width="15" customWidth="1" min="3" max="6"/>
    <col width="40" customWidth="1" min="7" max="7"/>
  </cols>
  <sheetData>
    <row r="1" ht="17.25" customHeight="1">
      <c r="A1" s="1" t="inlineStr">
        <is>
          <t>Rokonszavak – gyakorlólap</t>
        </is>
      </c>
    </row>
    <row r="2">
      <c r="A2" s="4" t="inlineStr">
        <is>
          <t>Válassz feladványt:</t>
        </is>
      </c>
      <c r="B2" s="9" t="inlineStr">
        <is>
          <t>rsz-033</t>
        </is>
      </c>
      <c r="C2">
        <f>VLOOKUP(B2,Feladványok!A:B,2,FALSE())</f>
        <v/>
      </c>
    </row>
    <row r="3">
      <c r="C3" s="11" t="n"/>
    </row>
    <row r="4">
      <c r="A4" s="2" t="inlineStr">
        <is>
          <t>Keresd meg a négy négyes csoportot:</t>
        </is>
      </c>
    </row>
    <row r="6" ht="27.75" customHeight="1">
      <c r="A6" s="10">
        <f>INDEX(Segéd!$C$2:$C$673,MATCH($B$2,Segéd!$A$2:$A$673,0)+1-1)</f>
        <v/>
      </c>
      <c r="B6" s="10">
        <f>INDEX(Segéd!$C$2:$C$673,MATCH($B$2,Segéd!$A$2:$A$673,0)+2-1)</f>
        <v/>
      </c>
      <c r="C6" s="10">
        <f>INDEX(Segéd!$C$2:$C$673,MATCH($B$2,Segéd!$A$2:$A$673,0)+3-1)</f>
        <v/>
      </c>
      <c r="D6" s="10">
        <f>INDEX(Segéd!$C$2:$C$673,MATCH($B$2,Segéd!$A$2:$A$673,0)+4-1)</f>
        <v/>
      </c>
    </row>
    <row r="7" ht="27.75" customHeight="1">
      <c r="A7" s="10">
        <f>INDEX(Segéd!$C$2:$C$673,MATCH($B$2,Segéd!$A$2:$A$673,0)+5-1)</f>
        <v/>
      </c>
      <c r="B7" s="10">
        <f>INDEX(Segéd!$C$2:$C$673,MATCH($B$2,Segéd!$A$2:$A$673,0)+6-1)</f>
        <v/>
      </c>
      <c r="C7" s="10">
        <f>INDEX(Segéd!$C$2:$C$673,MATCH($B$2,Segéd!$A$2:$A$673,0)+7-1)</f>
        <v/>
      </c>
      <c r="D7" s="10">
        <f>INDEX(Segéd!$C$2:$C$673,MATCH($B$2,Segéd!$A$2:$A$673,0)+8-1)</f>
        <v/>
      </c>
    </row>
    <row r="8" ht="27.75" customHeight="1">
      <c r="A8" s="10">
        <f>INDEX(Segéd!$C$2:$C$673,MATCH($B$2,Segéd!$A$2:$A$673,0)+9-1)</f>
        <v/>
      </c>
      <c r="B8" s="10">
        <f>INDEX(Segéd!$C$2:$C$673,MATCH($B$2,Segéd!$A$2:$A$673,0)+10-1)</f>
        <v/>
      </c>
      <c r="C8" s="10">
        <f>INDEX(Segéd!$C$2:$C$673,MATCH($B$2,Segéd!$A$2:$A$673,0)+11-1)</f>
        <v/>
      </c>
      <c r="D8" s="10">
        <f>INDEX(Segéd!$C$2:$C$673,MATCH($B$2,Segéd!$A$2:$A$673,0)+12-1)</f>
        <v/>
      </c>
    </row>
    <row r="9" ht="27.75" customHeight="1">
      <c r="A9" s="10">
        <f>INDEX(Segéd!$C$2:$C$673,MATCH($B$2,Segéd!$A$2:$A$673,0)+13-1)</f>
        <v/>
      </c>
      <c r="B9" s="10">
        <f>INDEX(Segéd!$C$2:$C$673,MATCH($B$2,Segéd!$A$2:$A$673,0)+14-1)</f>
        <v/>
      </c>
      <c r="C9" s="10">
        <f>INDEX(Segéd!$C$2:$C$673,MATCH($B$2,Segéd!$A$2:$A$673,0)+15-1)</f>
        <v/>
      </c>
      <c r="D9" s="10">
        <f>INDEX(Segéd!$C$2:$C$673,MATCH($B$2,Segéd!$A$2:$A$673,0)+16-1)</f>
        <v/>
      </c>
    </row>
    <row r="20" ht="17.25" customHeight="1">
      <c r="A20" s="1" t="inlineStr">
        <is>
          <t>MEGOLDÁS (görgess ide, ha kész vagy)</t>
        </is>
      </c>
    </row>
    <row r="22">
      <c r="A22" s="5" t="inlineStr">
        <is>
          <t>Szint</t>
        </is>
      </c>
      <c r="B22" s="5" t="inlineStr">
        <is>
          <t>Kategória</t>
        </is>
      </c>
      <c r="C22" s="5" t="inlineStr">
        <is>
          <t>Szavak</t>
        </is>
      </c>
      <c r="D22" s="5" t="n"/>
      <c r="E22" s="5" t="n"/>
      <c r="F22" s="5" t="n"/>
      <c r="G22" s="5" t="inlineStr">
        <is>
          <t>Megjegyzés</t>
        </is>
      </c>
    </row>
    <row r="23">
      <c r="A23" s="6" t="n">
        <v>1</v>
      </c>
      <c r="B23" s="6">
        <f>INDEX(Feladványok!$D$2:$D$169,MATCH($B$2,Feladványok!$A$2:$A$169,0)+1-1)</f>
        <v/>
      </c>
      <c r="C23" s="6">
        <f>INDEX(Feladványok!$F$2:$F$169,MATCH($B$2,Feladványok!$A$2:$A$169,0)+1-1)</f>
        <v/>
      </c>
      <c r="D23" s="6">
        <f>INDEX(Feladványok!$G$2:$G$169,MATCH($B$2,Feladványok!$A$2:$A$169,0)+1-1)</f>
        <v/>
      </c>
      <c r="E23" s="6">
        <f>INDEX(Feladványok!$H$2:$H$169,MATCH($B$2,Feladványok!$A$2:$A$169,0)+1-1)</f>
        <v/>
      </c>
      <c r="F23" s="6">
        <f>INDEX(Feladványok!$I$2:$I$169,MATCH($B$2,Feladványok!$A$2:$A$169,0)+1-1)</f>
        <v/>
      </c>
      <c r="G23" s="6">
        <f>IF(INDEX(Feladványok!$E$2:$E$169,MATCH($B$2,Feladványok!$A$2:$A$169,0)+1-1)="","",INDEX(Feladványok!$E$2:$E$169,MATCH($B$2,Feladványok!$A$2:$A$169,0)+1-1))</f>
        <v/>
      </c>
    </row>
    <row r="24">
      <c r="A24" s="6" t="n">
        <v>2</v>
      </c>
      <c r="B24" s="6">
        <f>INDEX(Feladványok!$D$2:$D$169,MATCH($B$2,Feladványok!$A$2:$A$169,0)+2-1)</f>
        <v/>
      </c>
      <c r="C24" s="6">
        <f>INDEX(Feladványok!$F$2:$F$169,MATCH($B$2,Feladványok!$A$2:$A$169,0)+2-1)</f>
        <v/>
      </c>
      <c r="D24" s="6">
        <f>INDEX(Feladványok!$G$2:$G$169,MATCH($B$2,Feladványok!$A$2:$A$169,0)+2-1)</f>
        <v/>
      </c>
      <c r="E24" s="6">
        <f>INDEX(Feladványok!$H$2:$H$169,MATCH($B$2,Feladványok!$A$2:$A$169,0)+2-1)</f>
        <v/>
      </c>
      <c r="F24" s="6">
        <f>INDEX(Feladványok!$I$2:$I$169,MATCH($B$2,Feladványok!$A$2:$A$169,0)+2-1)</f>
        <v/>
      </c>
      <c r="G24" s="6">
        <f>IF(INDEX(Feladványok!$E$2:$E$169,MATCH($B$2,Feladványok!$A$2:$A$169,0)+2-1)="","",INDEX(Feladványok!$E$2:$E$169,MATCH($B$2,Feladványok!$A$2:$A$169,0)+2-1))</f>
        <v/>
      </c>
    </row>
    <row r="25">
      <c r="A25" s="6" t="n">
        <v>3</v>
      </c>
      <c r="B25" s="6">
        <f>INDEX(Feladványok!$D$2:$D$169,MATCH($B$2,Feladványok!$A$2:$A$169,0)+3-1)</f>
        <v/>
      </c>
      <c r="C25" s="6">
        <f>INDEX(Feladványok!$F$2:$F$169,MATCH($B$2,Feladványok!$A$2:$A$169,0)+3-1)</f>
        <v/>
      </c>
      <c r="D25" s="6">
        <f>INDEX(Feladványok!$G$2:$G$169,MATCH($B$2,Feladványok!$A$2:$A$169,0)+3-1)</f>
        <v/>
      </c>
      <c r="E25" s="6">
        <f>INDEX(Feladványok!$H$2:$H$169,MATCH($B$2,Feladványok!$A$2:$A$169,0)+3-1)</f>
        <v/>
      </c>
      <c r="F25" s="6">
        <f>INDEX(Feladványok!$I$2:$I$169,MATCH($B$2,Feladványok!$A$2:$A$169,0)+3-1)</f>
        <v/>
      </c>
      <c r="G25" s="6">
        <f>IF(INDEX(Feladványok!$E$2:$E$169,MATCH($B$2,Feladványok!$A$2:$A$169,0)+3-1)="","",INDEX(Feladványok!$E$2:$E$169,MATCH($B$2,Feladványok!$A$2:$A$169,0)+3-1))</f>
        <v/>
      </c>
    </row>
    <row r="26">
      <c r="A26" s="6" t="n">
        <v>4</v>
      </c>
      <c r="B26" s="6">
        <f>INDEX(Feladványok!$D$2:$D$169,MATCH($B$2,Feladványok!$A$2:$A$169,0)+4-1)</f>
        <v/>
      </c>
      <c r="C26" s="6">
        <f>INDEX(Feladványok!$F$2:$F$169,MATCH($B$2,Feladványok!$A$2:$A$169,0)+4-1)</f>
        <v/>
      </c>
      <c r="D26" s="6">
        <f>INDEX(Feladványok!$G$2:$G$169,MATCH($B$2,Feladványok!$A$2:$A$169,0)+4-1)</f>
        <v/>
      </c>
      <c r="E26" s="6">
        <f>INDEX(Feladványok!$H$2:$H$169,MATCH($B$2,Feladványok!$A$2:$A$169,0)+4-1)</f>
        <v/>
      </c>
      <c r="F26" s="6">
        <f>INDEX(Feladványok!$I$2:$I$169,MATCH($B$2,Feladványok!$A$2:$A$169,0)+4-1)</f>
        <v/>
      </c>
      <c r="G26" s="6">
        <f>IF(INDEX(Feladványok!$E$2:$E$169,MATCH($B$2,Feladványok!$A$2:$A$169,0)+4-1)="","",INDEX(Feladványok!$E$2:$E$169,MATCH($B$2,Feladványok!$A$2:$A$169,0)+4-1))</f>
        <v/>
      </c>
    </row>
  </sheetData>
  <dataValidations count="1">
    <dataValidation sqref="B2" showDropDown="0" showInputMessage="0" showErrorMessage="0" allowBlank="0" errorTitle="Nincs ilyen feladvány" error="Válassz a legördülő listából." promptTitle="Feladvány" prompt="Kattints a nyílra, és válassz feladványt." type="list">
      <formula1>=feladvany_lista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2026-09-24T11:41:30Z</dcterms:created>
  <dcterms:modified xsi:type="dcterms:W3CDTF">2026-10-24T09:13:56Z</dcterms:modified>
  <cp:lastModifiedBy>Áron Arany-Tóth</cp:lastModifiedBy>
  <cp:revision>0</cp:revision>
</cp:coreProperties>
</file>