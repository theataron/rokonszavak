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Útmutató" sheetId="1" state="visible" r:id="rId3"/>
    <sheet name="Feladványok" sheetId="2" state="visible" r:id="rId4"/>
    <sheet name="Segéd" sheetId="3" state="hidden" r:id="rId5"/>
    <sheet name="Játék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<sst xmlns="http://schemas.openxmlformats.org/spreadsheetml/2006/main" count="1542" uniqueCount="598">
  <si>
    <t xml:space="preserve">Rokonszavak – feladványbank és gyakorlólap</t>
  </si>
  <si>
    <t xml:space="preserve">Feladványok lap – ide írod az adatokat. Minden sor egy csoport, minden feladvány 4 sor (szint 1–4).</t>
  </si>
  <si>
    <t xml:space="preserve">Játék lap – itt tudod magad megfejteni. Csak a sárga cellát állítod (B2), a többi képlet.</t>
  </si>
  <si>
    <t xml:space="preserve">Segéd lap – rejtett, a keverést tárolja. Ne szerkeszd.</t>
  </si>
  <si>
    <t xml:space="preserve">Új feladvány felvétele: írj 4 új sort a Feladványok lap aljára, azonos feladvany_id-vel és kezdes dátummal, szint 1-től 4-ig.</t>
  </si>
  <si>
    <t xml:space="preserve">Szabályok: 16 egyedi szó feladványonként, szint 1 a legkönnyebb, szint 4 a legnehezebb.</t>
  </si>
  <si>
    <t xml:space="preserve">Szóhossz: 9 karakterig biztosan elfér egy sorban. 10–12 karakter csak kétsoros dobozzal, feladványonként legfeljebb egy ilyen szó.</t>
  </si>
  <si>
    <t xml:space="preserve">NINCS kakukktojás: egy szó sem illhet két csoportba ugyanabban a feladványban. A nehézséget a kategória adja, nem a kétértelműség.</t>
  </si>
  <si>
    <t xml:space="preserve">A megjegyzes oszlop a játékosnak szól. Az ellenorzes oszlop csak neked – ez sosem kerül ki a weboldalra.</t>
  </si>
  <si>
    <t xml:space="preserve">feladvany_id</t>
  </si>
  <si>
    <t xml:space="preserve">kezdes</t>
  </si>
  <si>
    <t xml:space="preserve">szint</t>
  </si>
  <si>
    <t xml:space="preserve">kategoria</t>
  </si>
  <si>
    <t xml:space="preserve">megjegyzes</t>
  </si>
  <si>
    <t xml:space="preserve">szo1</t>
  </si>
  <si>
    <t xml:space="preserve">szo2</t>
  </si>
  <si>
    <t xml:space="preserve">szo3</t>
  </si>
  <si>
    <t xml:space="preserve">szo4</t>
  </si>
  <si>
    <t xml:space="preserve">ellenorzes_regi</t>
  </si>
  <si>
    <t xml:space="preserve">ellenorzes</t>
  </si>
  <si>
    <t xml:space="preserve">rsz-002</t>
  </si>
  <si>
    <t xml:space="preserve">2026-09-24</t>
  </si>
  <si>
    <t xml:space="preserve">Magyar levesek</t>
  </si>
  <si>
    <t xml:space="preserve">Palóc</t>
  </si>
  <si>
    <t xml:space="preserve">Jókai</t>
  </si>
  <si>
    <t xml:space="preserve">Újházi</t>
  </si>
  <si>
    <t xml:space="preserve">Gulyás</t>
  </si>
  <si>
    <t xml:space="preserve">Budapesti hidak</t>
  </si>
  <si>
    <t xml:space="preserve">Lánc</t>
  </si>
  <si>
    <t xml:space="preserve">Erzsébet</t>
  </si>
  <si>
    <t xml:space="preserve">Margit</t>
  </si>
  <si>
    <t xml:space="preserve">Szabadság</t>
  </si>
  <si>
    <t xml:space="preserve">Foglalkozás és gyakori vezetéknév</t>
  </si>
  <si>
    <t xml:space="preserve">Kovács</t>
  </si>
  <si>
    <t xml:space="preserve">Szabó</t>
  </si>
  <si>
    <t xml:space="preserve">Molnár</t>
  </si>
  <si>
    <t xml:space="preserve">Halász</t>
  </si>
  <si>
    <t xml:space="preserve">Gulyás (foglalkozás és vezetéknév is)</t>
  </si>
  <si>
    <t xml:space="preserve">Amit le lehet tenni</t>
  </si>
  <si>
    <t xml:space="preserve">Vizsga</t>
  </si>
  <si>
    <t xml:space="preserve">Eskü</t>
  </si>
  <si>
    <t xml:space="preserve">Fegyver</t>
  </si>
  <si>
    <t xml:space="preserve">Lant</t>
  </si>
  <si>
    <t xml:space="preserve">rsz-003</t>
  </si>
  <si>
    <t xml:space="preserve">2026-09-25</t>
  </si>
  <si>
    <t xml:space="preserve">Csillagjegyek</t>
  </si>
  <si>
    <t xml:space="preserve">Rák</t>
  </si>
  <si>
    <t xml:space="preserve">Kos</t>
  </si>
  <si>
    <t xml:space="preserve">Bika</t>
  </si>
  <si>
    <t xml:space="preserve">Ikrek</t>
  </si>
  <si>
    <t xml:space="preserve">Magyar kutyafajták</t>
  </si>
  <si>
    <t xml:space="preserve">Puli</t>
  </si>
  <si>
    <t xml:space="preserve">Vizsla</t>
  </si>
  <si>
    <t xml:space="preserve">Kuvasz</t>
  </si>
  <si>
    <t xml:space="preserve">Pumi</t>
  </si>
  <si>
    <t xml:space="preserve">Aminek nyelve van</t>
  </si>
  <si>
    <t xml:space="preserve">Cipő</t>
  </si>
  <si>
    <t xml:space="preserve">Harang</t>
  </si>
  <si>
    <t xml:space="preserve">Öv</t>
  </si>
  <si>
    <t xml:space="preserve">Mérleg</t>
  </si>
  <si>
    <t xml:space="preserve">Mérleg (csillagjegy is)</t>
  </si>
  <si>
    <t xml:space="preserve">Egy betű cseréjével vármegye</t>
  </si>
  <si>
    <t xml:space="preserve">Fejér, Békés, Pest, Tolna</t>
  </si>
  <si>
    <t xml:space="preserve">Fehér</t>
  </si>
  <si>
    <t xml:space="preserve">Bélés</t>
  </si>
  <si>
    <t xml:space="preserve">Rest</t>
  </si>
  <si>
    <t xml:space="preserve">Volna</t>
  </si>
  <si>
    <t xml:space="preserve">rsz-004</t>
  </si>
  <si>
    <t xml:space="preserve">2026-09-26</t>
  </si>
  <si>
    <t xml:space="preserve">Magyar kártya színei</t>
  </si>
  <si>
    <t xml:space="preserve">Makk</t>
  </si>
  <si>
    <t xml:space="preserve">Tök</t>
  </si>
  <si>
    <t xml:space="preserve">Zöld</t>
  </si>
  <si>
    <t xml:space="preserve">Piros</t>
  </si>
  <si>
    <t xml:space="preserve">Pálinkafajták</t>
  </si>
  <si>
    <t xml:space="preserve">Barack</t>
  </si>
  <si>
    <t xml:space="preserve">Szilva</t>
  </si>
  <si>
    <t xml:space="preserve">Törköly</t>
  </si>
  <si>
    <t xml:space="preserve">Kökény</t>
  </si>
  <si>
    <t xml:space="preserve">Ételnév, ami személynévből jön</t>
  </si>
  <si>
    <t xml:space="preserve">Dobos C. József, Rigó Jancsi, Esterházy Pál, Gerbeaud Emil</t>
  </si>
  <si>
    <t xml:space="preserve">Dobos</t>
  </si>
  <si>
    <t xml:space="preserve">Rigó</t>
  </si>
  <si>
    <t xml:space="preserve">Esterházy</t>
  </si>
  <si>
    <t xml:space="preserve">Zserbó</t>
  </si>
  <si>
    <t xml:space="preserve">Amit el lehet sütni</t>
  </si>
  <si>
    <t xml:space="preserve">Poén</t>
  </si>
  <si>
    <t xml:space="preserve">Puska</t>
  </si>
  <si>
    <t xml:space="preserve">Vicc</t>
  </si>
  <si>
    <t xml:space="preserve">Ágyú</t>
  </si>
  <si>
    <t xml:space="preserve">rsz-005</t>
  </si>
  <si>
    <t xml:space="preserve">2026-09-27</t>
  </si>
  <si>
    <t xml:space="preserve">Magyar rajzfilmfigurák</t>
  </si>
  <si>
    <t xml:space="preserve">Vuk</t>
  </si>
  <si>
    <t xml:space="preserve">Süsü</t>
  </si>
  <si>
    <t xml:space="preserve">Frakk</t>
  </si>
  <si>
    <t xml:space="preserve">Kukori</t>
  </si>
  <si>
    <t xml:space="preserve">___ + ÓRA</t>
  </si>
  <si>
    <t xml:space="preserve">Nap</t>
  </si>
  <si>
    <t xml:space="preserve">Homok</t>
  </si>
  <si>
    <t xml:space="preserve">Inga</t>
  </si>
  <si>
    <t xml:space="preserve">Torony</t>
  </si>
  <si>
    <t xml:space="preserve">Keresztnévvel kezdődik</t>
  </si>
  <si>
    <t xml:space="preserve">Kata, Lili, Andor, Ferenc</t>
  </si>
  <si>
    <t xml:space="preserve">Katapult</t>
  </si>
  <si>
    <t xml:space="preserve">Liliom</t>
  </si>
  <si>
    <t xml:space="preserve">Andorra</t>
  </si>
  <si>
    <t xml:space="preserve">Ferences</t>
  </si>
  <si>
    <t xml:space="preserve">Visszafelé olvasva is magyar szó</t>
  </si>
  <si>
    <t xml:space="preserve">rak, pék, tál, rét</t>
  </si>
  <si>
    <t xml:space="preserve">Kar</t>
  </si>
  <si>
    <t xml:space="preserve">Kép</t>
  </si>
  <si>
    <t xml:space="preserve">Lát</t>
  </si>
  <si>
    <t xml:space="preserve">Tér</t>
  </si>
  <si>
    <t xml:space="preserve">Kar (karóra)</t>
  </si>
  <si>
    <t xml:space="preserve">rsz-006</t>
  </si>
  <si>
    <t xml:space="preserve">2026-09-28</t>
  </si>
  <si>
    <t xml:space="preserve">Sakkfigurák</t>
  </si>
  <si>
    <t xml:space="preserve">Bástya</t>
  </si>
  <si>
    <t xml:space="preserve">Futó</t>
  </si>
  <si>
    <t xml:space="preserve">Huszár</t>
  </si>
  <si>
    <t xml:space="preserve">Vezér</t>
  </si>
  <si>
    <t xml:space="preserve">Magyar folyók</t>
  </si>
  <si>
    <t xml:space="preserve">Tisza</t>
  </si>
  <si>
    <t xml:space="preserve">Dráva</t>
  </si>
  <si>
    <t xml:space="preserve">Rába</t>
  </si>
  <si>
    <t xml:space="preserve">Sajó</t>
  </si>
  <si>
    <t xml:space="preserve">Amit fel lehet venni</t>
  </si>
  <si>
    <t xml:space="preserve">Telefon</t>
  </si>
  <si>
    <t xml:space="preserve">Kabát</t>
  </si>
  <si>
    <t xml:space="preserve">Kölcsön</t>
  </si>
  <si>
    <t xml:space="preserve">Verseny</t>
  </si>
  <si>
    <t xml:space="preserve">Amit meg lehet oldani</t>
  </si>
  <si>
    <t xml:space="preserve">Rejtvény</t>
  </si>
  <si>
    <t xml:space="preserve">Feladat</t>
  </si>
  <si>
    <t xml:space="preserve">Csomó</t>
  </si>
  <si>
    <t xml:space="preserve">Cipőfűző</t>
  </si>
  <si>
    <t xml:space="preserve">rsz-007</t>
  </si>
  <si>
    <t xml:space="preserve">2026-09-29</t>
  </si>
  <si>
    <t xml:space="preserve">Madarak</t>
  </si>
  <si>
    <t xml:space="preserve">Gólya</t>
  </si>
  <si>
    <t xml:space="preserve">Fecske</t>
  </si>
  <si>
    <t xml:space="preserve">Bagoly</t>
  </si>
  <si>
    <t xml:space="preserve">Pinty</t>
  </si>
  <si>
    <t xml:space="preserve">___ + KÖNYV</t>
  </si>
  <si>
    <t xml:space="preserve">Tan</t>
  </si>
  <si>
    <t xml:space="preserve">Szak</t>
  </si>
  <si>
    <t xml:space="preserve">Mese</t>
  </si>
  <si>
    <t xml:space="preserve">Zseb</t>
  </si>
  <si>
    <t xml:space="preserve">Aminek füle van</t>
  </si>
  <si>
    <t xml:space="preserve">Bögre</t>
  </si>
  <si>
    <t xml:space="preserve">Kosár</t>
  </si>
  <si>
    <t xml:space="preserve">Fazék</t>
  </si>
  <si>
    <t xml:space="preserve">Zsák</t>
  </si>
  <si>
    <t xml:space="preserve">Pénznemek, amik mást is jelentenek</t>
  </si>
  <si>
    <t xml:space="preserve">Font</t>
  </si>
  <si>
    <t xml:space="preserve">Márka</t>
  </si>
  <si>
    <t xml:space="preserve">Korona</t>
  </si>
  <si>
    <t xml:space="preserve">Frank</t>
  </si>
  <si>
    <t xml:space="preserve">rsz-008</t>
  </si>
  <si>
    <t xml:space="preserve">2026-09-30</t>
  </si>
  <si>
    <t xml:space="preserve">Gombák</t>
  </si>
  <si>
    <t xml:space="preserve">Vargánya</t>
  </si>
  <si>
    <t xml:space="preserve">Csiperke</t>
  </si>
  <si>
    <t xml:space="preserve">Galóca</t>
  </si>
  <si>
    <t xml:space="preserve">Rizike</t>
  </si>
  <si>
    <t xml:space="preserve">Balatoni települések</t>
  </si>
  <si>
    <t xml:space="preserve">Tihany</t>
  </si>
  <si>
    <t xml:space="preserve">Siófok</t>
  </si>
  <si>
    <t xml:space="preserve">Fonyód</t>
  </si>
  <si>
    <t xml:space="preserve">Keszthely</t>
  </si>
  <si>
    <t xml:space="preserve">Amit el lehet kapni</t>
  </si>
  <si>
    <t xml:space="preserve">Labda</t>
  </si>
  <si>
    <t xml:space="preserve">Nátha</t>
  </si>
  <si>
    <t xml:space="preserve">Fonál</t>
  </si>
  <si>
    <t xml:space="preserve">Tolvaj</t>
  </si>
  <si>
    <t xml:space="preserve">Magyar városok anagrammái</t>
  </si>
  <si>
    <t xml:space="preserve">Eger, Gyula, Makó, Szeged</t>
  </si>
  <si>
    <t xml:space="preserve">Rege</t>
  </si>
  <si>
    <t xml:space="preserve">Gulya</t>
  </si>
  <si>
    <t xml:space="preserve">Kóma</t>
  </si>
  <si>
    <t xml:space="preserve">Degesz</t>
  </si>
  <si>
    <t xml:space="preserve">rsz-009</t>
  </si>
  <si>
    <t xml:space="preserve">2026-10-01</t>
  </si>
  <si>
    <t xml:space="preserve">Fűszerek</t>
  </si>
  <si>
    <t xml:space="preserve">Kapor</t>
  </si>
  <si>
    <t xml:space="preserve">Bors</t>
  </si>
  <si>
    <t xml:space="preserve">Kömény</t>
  </si>
  <si>
    <t xml:space="preserve">Babér</t>
  </si>
  <si>
    <t xml:space="preserve">SZÉL + ___</t>
  </si>
  <si>
    <t xml:space="preserve">Csend</t>
  </si>
  <si>
    <t xml:space="preserve">Vihar</t>
  </si>
  <si>
    <t xml:space="preserve">Kakas</t>
  </si>
  <si>
    <t xml:space="preserve">Malom</t>
  </si>
  <si>
    <t xml:space="preserve">Oda-vissza ugyanaz</t>
  </si>
  <si>
    <t xml:space="preserve">Görög</t>
  </si>
  <si>
    <t xml:space="preserve">Kerek</t>
  </si>
  <si>
    <t xml:space="preserve">Pap</t>
  </si>
  <si>
    <t xml:space="preserve">Sas</t>
  </si>
  <si>
    <t xml:space="preserve">___ + LÁB</t>
  </si>
  <si>
    <t xml:space="preserve">Szék</t>
  </si>
  <si>
    <t xml:space="preserve">Asztal</t>
  </si>
  <si>
    <t xml:space="preserve">Kamat</t>
  </si>
  <si>
    <t xml:space="preserve">rsz-010</t>
  </si>
  <si>
    <t xml:space="preserve">2026-10-02</t>
  </si>
  <si>
    <t xml:space="preserve">Magyar sajtok</t>
  </si>
  <si>
    <t xml:space="preserve">Trappista</t>
  </si>
  <si>
    <t xml:space="preserve">Pannónia</t>
  </si>
  <si>
    <t xml:space="preserve">Óvári</t>
  </si>
  <si>
    <t xml:space="preserve">Karaván</t>
  </si>
  <si>
    <t xml:space="preserve">SZEM + ___</t>
  </si>
  <si>
    <t xml:space="preserve">Üveg</t>
  </si>
  <si>
    <t xml:space="preserve">Héj</t>
  </si>
  <si>
    <t xml:space="preserve">Golyó</t>
  </si>
  <si>
    <t xml:space="preserve">Tanú</t>
  </si>
  <si>
    <t xml:space="preserve">Amit be lehet tartani</t>
  </si>
  <si>
    <t xml:space="preserve">Szó</t>
  </si>
  <si>
    <t xml:space="preserve">Ígéret</t>
  </si>
  <si>
    <t xml:space="preserve">Szabály</t>
  </si>
  <si>
    <t xml:space="preserve">Távolság</t>
  </si>
  <si>
    <t xml:space="preserve">Városok, amik köznevek is</t>
  </si>
  <si>
    <t xml:space="preserve">Tata</t>
  </si>
  <si>
    <t xml:space="preserve">Baja</t>
  </si>
  <si>
    <t xml:space="preserve">Gyula</t>
  </si>
  <si>
    <t xml:space="preserve">Hajós</t>
  </si>
  <si>
    <t xml:space="preserve">rsz-011</t>
  </si>
  <si>
    <t xml:space="preserve">2026-10-03</t>
  </si>
  <si>
    <t xml:space="preserve">Budapesti metrómegállók</t>
  </si>
  <si>
    <t xml:space="preserve">Astoria</t>
  </si>
  <si>
    <t xml:space="preserve">Blaha</t>
  </si>
  <si>
    <t xml:space="preserve">Opera</t>
  </si>
  <si>
    <t xml:space="preserve">Lehel</t>
  </si>
  <si>
    <t xml:space="preserve">Magyar kártyajátékok</t>
  </si>
  <si>
    <t xml:space="preserve">Ulti</t>
  </si>
  <si>
    <t xml:space="preserve">Römi</t>
  </si>
  <si>
    <t xml:space="preserve">Makaó</t>
  </si>
  <si>
    <t xml:space="preserve">Snapszer</t>
  </si>
  <si>
    <t xml:space="preserve">Amit fel lehet állítani</t>
  </si>
  <si>
    <t xml:space="preserve">Rekord</t>
  </si>
  <si>
    <t xml:space="preserve">Sátor</t>
  </si>
  <si>
    <t xml:space="preserve">Csapat</t>
  </si>
  <si>
    <t xml:space="preserve">Szobor</t>
  </si>
  <si>
    <t xml:space="preserve">Ikerszavak első tagja</t>
  </si>
  <si>
    <t xml:space="preserve">csiga-biga, tarka-barka, dimbes-dombos, ripsz-ropsz</t>
  </si>
  <si>
    <t xml:space="preserve">Csiga</t>
  </si>
  <si>
    <t xml:space="preserve">Tarka</t>
  </si>
  <si>
    <t xml:space="preserve">Dimbes</t>
  </si>
  <si>
    <t xml:space="preserve">Ripsz</t>
  </si>
  <si>
    <t xml:space="preserve">rsz-012</t>
  </si>
  <si>
    <t xml:space="preserve">2026-10-04</t>
  </si>
  <si>
    <t xml:space="preserve">Halak</t>
  </si>
  <si>
    <t xml:space="preserve">Ponty</t>
  </si>
  <si>
    <t xml:space="preserve">Harcsa</t>
  </si>
  <si>
    <t xml:space="preserve">Keszeg</t>
  </si>
  <si>
    <t xml:space="preserve">Csuka</t>
  </si>
  <si>
    <t xml:space="preserve">TŰZ + ___</t>
  </si>
  <si>
    <t xml:space="preserve">Oltó</t>
  </si>
  <si>
    <t xml:space="preserve">Fal</t>
  </si>
  <si>
    <t xml:space="preserve">Csap</t>
  </si>
  <si>
    <t xml:space="preserve">Veszély</t>
  </si>
  <si>
    <t xml:space="preserve">Aminek foga van</t>
  </si>
  <si>
    <t xml:space="preserve">Fésű</t>
  </si>
  <si>
    <t xml:space="preserve">Fűrész</t>
  </si>
  <si>
    <t xml:space="preserve">Gereblye</t>
  </si>
  <si>
    <t xml:space="preserve">Cipzár</t>
  </si>
  <si>
    <t xml:space="preserve">Főnév és ige is egyben</t>
  </si>
  <si>
    <t xml:space="preserve">Vár</t>
  </si>
  <si>
    <t xml:space="preserve">Fog</t>
  </si>
  <si>
    <t xml:space="preserve">Nyúl</t>
  </si>
  <si>
    <t xml:space="preserve">Ég</t>
  </si>
  <si>
    <t xml:space="preserve">Fog (a fogas csoport miatt)</t>
  </si>
  <si>
    <t xml:space="preserve">rsz-013</t>
  </si>
  <si>
    <t xml:space="preserve">2026-10-05</t>
  </si>
  <si>
    <t xml:space="preserve">Magyar borvidékek</t>
  </si>
  <si>
    <t xml:space="preserve">Tokaj</t>
  </si>
  <si>
    <t xml:space="preserve">Villány</t>
  </si>
  <si>
    <t xml:space="preserve">Eger</t>
  </si>
  <si>
    <t xml:space="preserve">Szekszárd</t>
  </si>
  <si>
    <t xml:space="preserve">A Pál utcai fiúk szereplői</t>
  </si>
  <si>
    <t xml:space="preserve">Nemecsek</t>
  </si>
  <si>
    <t xml:space="preserve">Boka</t>
  </si>
  <si>
    <t xml:space="preserve">Áts</t>
  </si>
  <si>
    <t xml:space="preserve">Geréb</t>
  </si>
  <si>
    <t xml:space="preserve">Boka testrész is, de nincs testrész-csoport ebben a feladványban</t>
  </si>
  <si>
    <t xml:space="preserve">Régi magyar mértékegységek</t>
  </si>
  <si>
    <t xml:space="preserve">1 hold ≈ 5755 m², 1 icce ≈ 0,8 liter</t>
  </si>
  <si>
    <t xml:space="preserve">Hold</t>
  </si>
  <si>
    <t xml:space="preserve">Öl</t>
  </si>
  <si>
    <t xml:space="preserve">Icce</t>
  </si>
  <si>
    <t xml:space="preserve">Akó</t>
  </si>
  <si>
    <t xml:space="preserve">Hold = égitest is; nincs égi csoport itt</t>
  </si>
  <si>
    <t xml:space="preserve">Hangszer rejtőzik a szó elején</t>
  </si>
  <si>
    <t xml:space="preserve">dob, síp, lant, kürt</t>
  </si>
  <si>
    <t xml:space="preserve">Dobás</t>
  </si>
  <si>
    <t xml:space="preserve">Sípálya</t>
  </si>
  <si>
    <t xml:space="preserve">Lantos</t>
  </si>
  <si>
    <t xml:space="preserve">Kürtő</t>
  </si>
  <si>
    <t xml:space="preserve">Sípálya valójában sí+pálya – ez a poén</t>
  </si>
  <si>
    <t xml:space="preserve">rsz-014</t>
  </si>
  <si>
    <t xml:space="preserve">2026-10-06</t>
  </si>
  <si>
    <t xml:space="preserve">Retró magyar édességek és üdítők</t>
  </si>
  <si>
    <t xml:space="preserve">Negro</t>
  </si>
  <si>
    <t xml:space="preserve">Bambi</t>
  </si>
  <si>
    <t xml:space="preserve">Traubi</t>
  </si>
  <si>
    <t xml:space="preserve">Boci</t>
  </si>
  <si>
    <t xml:space="preserve">Varrás közben</t>
  </si>
  <si>
    <t xml:space="preserve">Öltés</t>
  </si>
  <si>
    <t xml:space="preserve">Szegély</t>
  </si>
  <si>
    <t xml:space="preserve">Gombolyag</t>
  </si>
  <si>
    <t xml:space="preserve">Tű</t>
  </si>
  <si>
    <t xml:space="preserve">A SZÉP rokon értelmű szavai</t>
  </si>
  <si>
    <t xml:space="preserve">Csinos</t>
  </si>
  <si>
    <t xml:space="preserve">Bájos</t>
  </si>
  <si>
    <t xml:space="preserve">Takaros</t>
  </si>
  <si>
    <t xml:space="preserve">Helyes</t>
  </si>
  <si>
    <t xml:space="preserve">Helyes = „jó, rendben” is; nem fedi egyik csoportot sem</t>
  </si>
  <si>
    <t xml:space="preserve">Amit a tűz csinál</t>
  </si>
  <si>
    <t xml:space="preserve">Pattog</t>
  </si>
  <si>
    <t xml:space="preserve">Lobog</t>
  </si>
  <si>
    <t xml:space="preserve">Izzik</t>
  </si>
  <si>
    <t xml:space="preserve">Sistereg</t>
  </si>
  <si>
    <t xml:space="preserve">rsz-015</t>
  </si>
  <si>
    <t xml:space="preserve">2026-10-07</t>
  </si>
  <si>
    <t xml:space="preserve">Tejtermékek</t>
  </si>
  <si>
    <t xml:space="preserve">Túró</t>
  </si>
  <si>
    <t xml:space="preserve">Tejföl</t>
  </si>
  <si>
    <t xml:space="preserve">Vaj</t>
  </si>
  <si>
    <t xml:space="preserve">Kefir</t>
  </si>
  <si>
    <t xml:space="preserve">Magyar zenekarok</t>
  </si>
  <si>
    <t xml:space="preserve">Omega</t>
  </si>
  <si>
    <t xml:space="preserve">Illés</t>
  </si>
  <si>
    <t xml:space="preserve">Hungária</t>
  </si>
  <si>
    <t xml:space="preserve">Neoton</t>
  </si>
  <si>
    <t xml:space="preserve">Kártyázás közben</t>
  </si>
  <si>
    <t xml:space="preserve">Oszt</t>
  </si>
  <si>
    <t xml:space="preserve">Emel</t>
  </si>
  <si>
    <t xml:space="preserve">Passzol</t>
  </si>
  <si>
    <t xml:space="preserve">Üt</t>
  </si>
  <si>
    <t xml:space="preserve">Mind ige; nincs másik ige-csoport itt</t>
  </si>
  <si>
    <t xml:space="preserve">Egy betű cseréjével állat lesz belőle</t>
  </si>
  <si>
    <t xml:space="preserve">liba, sas, egér, kacsa</t>
  </si>
  <si>
    <t xml:space="preserve">Lila</t>
  </si>
  <si>
    <t xml:space="preserve">Sás</t>
  </si>
  <si>
    <t xml:space="preserve">Kassa</t>
  </si>
  <si>
    <t xml:space="preserve">Eger és Kassa város is, de nincs földrajzi csoport itt</t>
  </si>
  <si>
    <t xml:space="preserve">rsz-016</t>
  </si>
  <si>
    <t xml:space="preserve">2026-10-08</t>
  </si>
  <si>
    <t xml:space="preserve">Ami a kaszinóban van</t>
  </si>
  <si>
    <t xml:space="preserve">Rulett</t>
  </si>
  <si>
    <t xml:space="preserve">Zseton</t>
  </si>
  <si>
    <t xml:space="preserve">Krupié</t>
  </si>
  <si>
    <t xml:space="preserve">Jackpot</t>
  </si>
  <si>
    <t xml:space="preserve">A BUTA rokon értelmű szavai</t>
  </si>
  <si>
    <t xml:space="preserve">Ostoba</t>
  </si>
  <si>
    <t xml:space="preserve">Balga</t>
  </si>
  <si>
    <t xml:space="preserve">Együgyű</t>
  </si>
  <si>
    <t xml:space="preserve">Dőre</t>
  </si>
  <si>
    <t xml:space="preserve">Horgászfelszerelés</t>
  </si>
  <si>
    <t xml:space="preserve">Úszó</t>
  </si>
  <si>
    <t xml:space="preserve">Ólom</t>
  </si>
  <si>
    <t xml:space="preserve">Orsó</t>
  </si>
  <si>
    <t xml:space="preserve">Csali</t>
  </si>
  <si>
    <t xml:space="preserve">Csali = kaszinós „csalit” NEM; a csalás más szó</t>
  </si>
  <si>
    <t xml:space="preserve">Ital rejtőzik a szó elején</t>
  </si>
  <si>
    <t xml:space="preserve">bor, sör, tej, víz</t>
  </si>
  <si>
    <t xml:space="preserve">Borotva</t>
  </si>
  <si>
    <t xml:space="preserve">Sörény</t>
  </si>
  <si>
    <t xml:space="preserve">Tejút</t>
  </si>
  <si>
    <t xml:space="preserve">Vízum</t>
  </si>
  <si>
    <t xml:space="preserve">Vízum: a víz itt véletlen szóeleji egyezés – ez a poén</t>
  </si>
  <si>
    <t xml:space="preserve">rsz-017</t>
  </si>
  <si>
    <t xml:space="preserve">2026-10-09</t>
  </si>
  <si>
    <t xml:space="preserve">Mezei virágok</t>
  </si>
  <si>
    <t xml:space="preserve">Pipacs</t>
  </si>
  <si>
    <t xml:space="preserve">Nefelejcs</t>
  </si>
  <si>
    <t xml:space="preserve">Margaréta</t>
  </si>
  <si>
    <t xml:space="preserve">Kankalin</t>
  </si>
  <si>
    <t xml:space="preserve">Mai magyar márkák</t>
  </si>
  <si>
    <t xml:space="preserve">Prezi, Wizz Air, Barion, Nanushka</t>
  </si>
  <si>
    <t xml:space="preserve">Prezi</t>
  </si>
  <si>
    <t xml:space="preserve">Wizz</t>
  </si>
  <si>
    <t xml:space="preserve">Barion</t>
  </si>
  <si>
    <t xml:space="preserve">Nanushka</t>
  </si>
  <si>
    <t xml:space="preserve">Amit a víz csinál</t>
  </si>
  <si>
    <t xml:space="preserve">Csobog</t>
  </si>
  <si>
    <t xml:space="preserve">Zubog</t>
  </si>
  <si>
    <t xml:space="preserve">Csordul</t>
  </si>
  <si>
    <t xml:space="preserve">Szivárog</t>
  </si>
  <si>
    <t xml:space="preserve">Szám rejtőzik a szó elején</t>
  </si>
  <si>
    <t xml:space="preserve">öt, hat, két, száz</t>
  </si>
  <si>
    <t xml:space="preserve">Ötlet</t>
  </si>
  <si>
    <t xml:space="preserve">Hatás</t>
  </si>
  <si>
    <t xml:space="preserve">Kétely</t>
  </si>
  <si>
    <t xml:space="preserve">Százalék</t>
  </si>
  <si>
    <t xml:space="preserve">rsz-018</t>
  </si>
  <si>
    <t xml:space="preserve">2026-10-10</t>
  </si>
  <si>
    <t xml:space="preserve">Falusi ünnepek</t>
  </si>
  <si>
    <t xml:space="preserve">Farsang</t>
  </si>
  <si>
    <t xml:space="preserve">Szüret</t>
  </si>
  <si>
    <t xml:space="preserve">Búcsú</t>
  </si>
  <si>
    <t xml:space="preserve">Majális</t>
  </si>
  <si>
    <t xml:space="preserve">Sütés közben</t>
  </si>
  <si>
    <t xml:space="preserve">Dagaszt</t>
  </si>
  <si>
    <t xml:space="preserve">Kel</t>
  </si>
  <si>
    <t xml:space="preserve">Pihen</t>
  </si>
  <si>
    <t xml:space="preserve">Sül</t>
  </si>
  <si>
    <t xml:space="preserve">Mind ige; a Kel zöldség is, de nincs zöldségcsoport itt</t>
  </si>
  <si>
    <t xml:space="preserve">Mai fiatalok szavai</t>
  </si>
  <si>
    <t xml:space="preserve">Rizz</t>
  </si>
  <si>
    <t xml:space="preserve">Cringe</t>
  </si>
  <si>
    <t xml:space="preserve">Sigma</t>
  </si>
  <si>
    <t xml:space="preserve">Flex</t>
  </si>
  <si>
    <t xml:space="preserve">___ + HÁZ</t>
  </si>
  <si>
    <t xml:space="preserve">tárház, üvegház, kórház, bérház</t>
  </si>
  <si>
    <t xml:space="preserve">Tár</t>
  </si>
  <si>
    <t xml:space="preserve">Kór</t>
  </si>
  <si>
    <t xml:space="preserve">Bér</t>
  </si>
  <si>
    <t xml:space="preserve">rsz-019</t>
  </si>
  <si>
    <t xml:space="preserve">2026-10-11</t>
  </si>
  <si>
    <t xml:space="preserve">A magyar labdarúgó-válogatott tagjai</t>
  </si>
  <si>
    <t xml:space="preserve">Szoboszlai</t>
  </si>
  <si>
    <t xml:space="preserve">Dárdai</t>
  </si>
  <si>
    <t xml:space="preserve">Kerkez</t>
  </si>
  <si>
    <t xml:space="preserve">Dibusz</t>
  </si>
  <si>
    <t xml:space="preserve">ELLENŐRIZD a keretet a megjelenés előtt! Szoboszlai 10 karakter – kétsoros doboz kell</t>
  </si>
  <si>
    <t xml:space="preserve">Asztalos szerszámai</t>
  </si>
  <si>
    <t xml:space="preserve">Gyalu</t>
  </si>
  <si>
    <t xml:space="preserve">Véső</t>
  </si>
  <si>
    <t xml:space="preserve">Reszelő</t>
  </si>
  <si>
    <t xml:space="preserve">Fúró</t>
  </si>
  <si>
    <t xml:space="preserve">Állathangok</t>
  </si>
  <si>
    <t xml:space="preserve">Nyerít</t>
  </si>
  <si>
    <t xml:space="preserve">Mekeg</t>
  </si>
  <si>
    <t xml:space="preserve">Gágog</t>
  </si>
  <si>
    <t xml:space="preserve">Bőg</t>
  </si>
  <si>
    <t xml:space="preserve">Gyümölcs rejtőzik a szóban</t>
  </si>
  <si>
    <t xml:space="preserve">alma, meggy, dió, szeder</t>
  </si>
  <si>
    <t xml:space="preserve">Almanach</t>
  </si>
  <si>
    <t xml:space="preserve">Meggyőz</t>
  </si>
  <si>
    <t xml:space="preserve">Dióda</t>
  </si>
  <si>
    <t xml:space="preserve">Szederjes</t>
  </si>
  <si>
    <t xml:space="preserve">Szederjes = kékes-lilás színű</t>
  </si>
  <si>
    <t xml:space="preserve">rsz-020</t>
  </si>
  <si>
    <t xml:space="preserve">2026-10-12</t>
  </si>
  <si>
    <t xml:space="preserve">Magyar hegységek</t>
  </si>
  <si>
    <t xml:space="preserve">Mátra</t>
  </si>
  <si>
    <t xml:space="preserve">Bükk</t>
  </si>
  <si>
    <t xml:space="preserve">Mecsek</t>
  </si>
  <si>
    <t xml:space="preserve">Pilis</t>
  </si>
  <si>
    <t xml:space="preserve">Kötelező olvasmányok</t>
  </si>
  <si>
    <t xml:space="preserve">Arany, Fekete István, Szabó Magda</t>
  </si>
  <si>
    <t xml:space="preserve">Toldi</t>
  </si>
  <si>
    <t xml:space="preserve">Tüskevár</t>
  </si>
  <si>
    <t xml:space="preserve">Abigél</t>
  </si>
  <si>
    <t xml:space="preserve">Bogáncs</t>
  </si>
  <si>
    <t xml:space="preserve">A piros árnyalatai</t>
  </si>
  <si>
    <t xml:space="preserve">Bordó</t>
  </si>
  <si>
    <t xml:space="preserve">Meggy</t>
  </si>
  <si>
    <t xml:space="preserve">Skarlát</t>
  </si>
  <si>
    <t xml:space="preserve">Rőt</t>
  </si>
  <si>
    <t xml:space="preserve">Meggy gyümölcs is; nincs gyümölcscsoport itt</t>
  </si>
  <si>
    <t xml:space="preserve">A GYORS rokon értelmű szavai</t>
  </si>
  <si>
    <t xml:space="preserve">Sebes</t>
  </si>
  <si>
    <t xml:space="preserve">Fürge</t>
  </si>
  <si>
    <t xml:space="preserve">Serény</t>
  </si>
  <si>
    <t xml:space="preserve">Szapora</t>
  </si>
  <si>
    <t xml:space="preserve">Sebes = „sérült” is; egyik csoportba sem fér be máshogy</t>
  </si>
  <si>
    <t xml:space="preserve">rsz-021</t>
  </si>
  <si>
    <t xml:space="preserve">2026-10-13</t>
  </si>
  <si>
    <t xml:space="preserve">Ami a tolltartóban van</t>
  </si>
  <si>
    <t xml:space="preserve">Radír</t>
  </si>
  <si>
    <t xml:space="preserve">Vonalzó</t>
  </si>
  <si>
    <t xml:space="preserve">Hegyező</t>
  </si>
  <si>
    <t xml:space="preserve">Filctoll</t>
  </si>
  <si>
    <t xml:space="preserve">Ásványok</t>
  </si>
  <si>
    <t xml:space="preserve">Opál</t>
  </si>
  <si>
    <t xml:space="preserve">Ametiszt</t>
  </si>
  <si>
    <t xml:space="preserve">Jáspis</t>
  </si>
  <si>
    <t xml:space="preserve">Borostyán</t>
  </si>
  <si>
    <t xml:space="preserve">Borostyán növény is; nincs növénycsoport itt</t>
  </si>
  <si>
    <t xml:space="preserve">A SOK rokon értelmű szavai</t>
  </si>
  <si>
    <t xml:space="preserve">garmada = nagy halom</t>
  </si>
  <si>
    <t xml:space="preserve">Rengeteg</t>
  </si>
  <si>
    <t xml:space="preserve">Temérdek</t>
  </si>
  <si>
    <t xml:space="preserve">Számtalan</t>
  </si>
  <si>
    <t xml:space="preserve">Garmada</t>
  </si>
  <si>
    <t xml:space="preserve">Rengeteg = sűrű erdő is; nincs erdőcsoport itt</t>
  </si>
  <si>
    <t xml:space="preserve">Testrész rejtőzik a szó elején</t>
  </si>
  <si>
    <t xml:space="preserve">fül, has, kar, szem</t>
  </si>
  <si>
    <t xml:space="preserve">Fülke</t>
  </si>
  <si>
    <t xml:space="preserve">Hasáb</t>
  </si>
  <si>
    <t xml:space="preserve">Karácsony</t>
  </si>
  <si>
    <t xml:space="preserve">Szemét</t>
  </si>
  <si>
    <t xml:space="preserve">rsz-022</t>
  </si>
  <si>
    <t xml:space="preserve">2026-10-14</t>
  </si>
  <si>
    <t xml:space="preserve">Magyar várak</t>
  </si>
  <si>
    <t xml:space="preserve">Siklós</t>
  </si>
  <si>
    <t xml:space="preserve">Sümeg</t>
  </si>
  <si>
    <t xml:space="preserve">Füzér</t>
  </si>
  <si>
    <t xml:space="preserve">Diósgyőr</t>
  </si>
  <si>
    <t xml:space="preserve">Magyar feltalálók</t>
  </si>
  <si>
    <t xml:space="preserve">Rubik Ernő, Bíró László, Kandó Kálmán, Jedlik Ányos</t>
  </si>
  <si>
    <t xml:space="preserve">Rubik</t>
  </si>
  <si>
    <t xml:space="preserve">Bíró</t>
  </si>
  <si>
    <t xml:space="preserve">Kandó</t>
  </si>
  <si>
    <t xml:space="preserve">Jedlik</t>
  </si>
  <si>
    <t xml:space="preserve">Bíró foglalkozás is; nincs foglalkozáscsoport itt</t>
  </si>
  <si>
    <t xml:space="preserve">Kertészkedés közben</t>
  </si>
  <si>
    <t xml:space="preserve">Metsz</t>
  </si>
  <si>
    <t xml:space="preserve">Ültet</t>
  </si>
  <si>
    <t xml:space="preserve">Öntöz</t>
  </si>
  <si>
    <t xml:space="preserve">Gyomlál</t>
  </si>
  <si>
    <t xml:space="preserve">Egy betű cseréjével madár lesz belőle</t>
  </si>
  <si>
    <t xml:space="preserve">gólya, veréb, pinty, sas</t>
  </si>
  <si>
    <t xml:space="preserve">Gálya</t>
  </si>
  <si>
    <t xml:space="preserve">Verés</t>
  </si>
  <si>
    <t xml:space="preserve">Sós</t>
  </si>
  <si>
    <t xml:space="preserve">Ponty hal is; nincs halcsoport itt</t>
  </si>
  <si>
    <t xml:space="preserve">rsz-023</t>
  </si>
  <si>
    <t xml:space="preserve">2026-10-15</t>
  </si>
  <si>
    <t xml:space="preserve">Magyar tájegységek</t>
  </si>
  <si>
    <t xml:space="preserve">Hortobágy</t>
  </si>
  <si>
    <t xml:space="preserve">Nyírség</t>
  </si>
  <si>
    <t xml:space="preserve">Hajdúság</t>
  </si>
  <si>
    <t xml:space="preserve">Kiskunság</t>
  </si>
  <si>
    <t xml:space="preserve">Népi hangszerek</t>
  </si>
  <si>
    <t xml:space="preserve">Citera</t>
  </si>
  <si>
    <t xml:space="preserve">Tekerő</t>
  </si>
  <si>
    <t xml:space="preserve">Doromb</t>
  </si>
  <si>
    <t xml:space="preserve">Furulya</t>
  </si>
  <si>
    <t xml:space="preserve">A FÁRADT rokon értelmű szavai</t>
  </si>
  <si>
    <t xml:space="preserve">Nyúzott</t>
  </si>
  <si>
    <t xml:space="preserve">Kimerült</t>
  </si>
  <si>
    <t xml:space="preserve">Bágyadt</t>
  </si>
  <si>
    <t xml:space="preserve">Törődött</t>
  </si>
  <si>
    <t xml:space="preserve">Állat rejtőzik a szóban</t>
  </si>
  <si>
    <t xml:space="preserve">kos, sas, borz, rák</t>
  </si>
  <si>
    <t xml:space="preserve">Sasszé</t>
  </si>
  <si>
    <t xml:space="preserve">Borzaszt</t>
  </si>
  <si>
    <t xml:space="preserve">Rákattan</t>
  </si>
  <si>
    <t xml:space="preserve">Sasszé = oldalazó tánclépés</t>
  </si>
  <si>
    <t xml:space="preserve">rsz-024</t>
  </si>
  <si>
    <t xml:space="preserve">2026-10-16</t>
  </si>
  <si>
    <t xml:space="preserve">Zöldségek</t>
  </si>
  <si>
    <t xml:space="preserve">Retek</t>
  </si>
  <si>
    <t xml:space="preserve">Cékla</t>
  </si>
  <si>
    <t xml:space="preserve">Karalábé</t>
  </si>
  <si>
    <t xml:space="preserve">Padlizsán</t>
  </si>
  <si>
    <t xml:space="preserve">Ami a padláson van</t>
  </si>
  <si>
    <t xml:space="preserve">Pókháló</t>
  </si>
  <si>
    <t xml:space="preserve">Láda</t>
  </si>
  <si>
    <t xml:space="preserve">Gerenda</t>
  </si>
  <si>
    <t xml:space="preserve">Lom</t>
  </si>
  <si>
    <t xml:space="preserve">Amit a szél csinál</t>
  </si>
  <si>
    <t xml:space="preserve">Süvít</t>
  </si>
  <si>
    <t xml:space="preserve">Zúg</t>
  </si>
  <si>
    <t xml:space="preserve">Fütyül</t>
  </si>
  <si>
    <t xml:space="preserve">Tombol</t>
  </si>
  <si>
    <t xml:space="preserve">Ország rejtőzik a szóban</t>
  </si>
  <si>
    <t xml:space="preserve">Kína, Irán, India, Omán</t>
  </si>
  <si>
    <t xml:space="preserve">Kínál</t>
  </si>
  <si>
    <t xml:space="preserve">Kirándul</t>
  </si>
  <si>
    <t xml:space="preserve">Indián</t>
  </si>
  <si>
    <t xml:space="preserve">Románc</t>
  </si>
  <si>
    <t xml:space="preserve">rsz-001</t>
  </si>
  <si>
    <t xml:space="preserve">2026-12-24</t>
  </si>
  <si>
    <t xml:space="preserve">Karácsonyfára kerül</t>
  </si>
  <si>
    <t xml:space="preserve">Gömb</t>
  </si>
  <si>
    <t xml:space="preserve">Csillag</t>
  </si>
  <si>
    <t xml:space="preserve">Angyalhaj</t>
  </si>
  <si>
    <t xml:space="preserve">Égősor</t>
  </si>
  <si>
    <t xml:space="preserve">Tárgyak a Reszkessetek, betörők!-ből</t>
  </si>
  <si>
    <t xml:space="preserve">Vasaló</t>
  </si>
  <si>
    <t xml:space="preserve">Tarantula</t>
  </si>
  <si>
    <t xml:space="preserve">Légpuska</t>
  </si>
  <si>
    <t xml:space="preserve">Festék</t>
  </si>
  <si>
    <t xml:space="preserve">Hangszerek, amik mást is jelentenek</t>
  </si>
  <si>
    <t xml:space="preserve">Orgona</t>
  </si>
  <si>
    <t xml:space="preserve">Duda</t>
  </si>
  <si>
    <t xml:space="preserve">Dob</t>
  </si>
  <si>
    <t xml:space="preserve">Kürt</t>
  </si>
  <si>
    <t xml:space="preserve">Amit fel lehet törni</t>
  </si>
  <si>
    <t xml:space="preserve">Dió</t>
  </si>
  <si>
    <t xml:space="preserve">Kód</t>
  </si>
  <si>
    <t xml:space="preserve">Jég</t>
  </si>
  <si>
    <t xml:space="preserve">Széf</t>
  </si>
  <si>
    <t xml:space="preserve">Dió (karácsonyfadísz is)</t>
  </si>
  <si>
    <t xml:space="preserve">pozicio</t>
  </si>
  <si>
    <t xml:space="preserve">szo</t>
  </si>
  <si>
    <t xml:space="preserve">id_lista</t>
  </si>
  <si>
    <t xml:space="preserve">Rokonszavak – gyakorlólap</t>
  </si>
  <si>
    <t xml:space="preserve">Válassz feladványt:</t>
  </si>
  <si>
    <t xml:space="preserve">Keresd meg a négy négyes csoportot:</t>
  </si>
  <si>
    <t xml:space="preserve">MEGOLDÁS (görgess ide, ha kész vagy)</t>
  </si>
  <si>
    <t xml:space="preserve">Szint</t>
  </si>
  <si>
    <t xml:space="preserve">Kategória</t>
  </si>
  <si>
    <t xml:space="preserve">Szavak</t>
  </si>
  <si>
    <t xml:space="preserve">Megjegyzés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</si>
</sst>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1"/>
      <name val="Arial"/>
      <family val="0"/>
      <charset val="1"/>
    </font>
    <font>
      <b val="true"/>
      <sz val="1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3" tint="0.5999"/>
        <bgColor rgb="FF9999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6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/>
    </row>
    <row r="3" customFormat="false" ht="14.25" hidden="false" customHeight="false" outlineLevel="0" collapsed="false">
      <c r="A3" s="2" t="s">
        <v>1</v>
      </c>
    </row>
    <row r="4" customFormat="false" ht="14.25" hidden="false" customHeight="false" outlineLevel="0" collapsed="false">
      <c r="A4" s="2" t="s">
        <v>2</v>
      </c>
    </row>
    <row r="5" customFormat="false" ht="14.25" hidden="false" customHeight="false" outlineLevel="0" collapsed="false">
      <c r="A5" s="2" t="s">
        <v>3</v>
      </c>
    </row>
    <row r="6" customFormat="false" ht="14.25" hidden="false" customHeight="false" outlineLevel="0" collapsed="false">
      <c r="A6" s="2"/>
    </row>
    <row r="7" customFormat="false" ht="14.25" hidden="false" customHeight="false" outlineLevel="0" collapsed="false">
      <c r="A7" s="2" t="s">
        <v>4</v>
      </c>
    </row>
    <row r="8" customFormat="false" ht="14.25" hidden="false" customHeight="false" outlineLevel="0" collapsed="false">
      <c r="A8" s="3" t="s">
        <v>5</v>
      </c>
    </row>
    <row r="9" customFormat="false" ht="14.25" hidden="false" customHeight="false" outlineLevel="0" collapsed="false">
      <c r="A9" s="3" t="s">
        <v>6</v>
      </c>
    </row>
    <row r="10" customFormat="false" ht="14.25" hidden="false" customHeight="false" outlineLevel="0" collapsed="false">
      <c r="A10" s="3" t="s">
        <v>7</v>
      </c>
    </row>
    <row r="11" customFormat="false" ht="14.25" hidden="false" customHeight="false" outlineLevel="0" collapsed="false">
      <c r="A11" s="3" t="s">
        <v>8</v>
      </c>
    </row>
    <row r="12" customFormat="false" ht="14.25" hidden="false" customHeight="false" outlineLevel="0" collapsed="false">
      <c r="A12" s="4"/>
    </row>
    <row r="13" customFormat="false" ht="14.2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customFormat="false" ht="14.2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4.25" hidden="false" customHeight="false" outlineLevel="0" collapsed="false">
      <c r="A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5" activeCellId="0" sqref="D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9" min="6" style="0" width="13"/>
    <col collapsed="false" customWidth="true" hidden="false" outlineLevel="0" max="10" min="10" style="0" width="22"/>
    <col collapsed="false" customWidth="true" hidden="false" outlineLevel="0" max="11" min="11" style="0" width="48"/>
  </cols>
  <sheetData>
    <row r="1" customFormat="false" ht="14.25" hidden="false" customHeight="false" outlineLevel="0" collapsed="false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</row>
    <row r="2" customFormat="false" ht="14.25" hidden="false" customHeight="false" outlineLevel="0" collapsed="false">
      <c r="A2" s="7" t="s">
        <v>20</v>
      </c>
      <c r="B2" s="7" t="s">
        <v>21</v>
      </c>
      <c r="C2" s="7" t="n">
        <v>1</v>
      </c>
      <c r="D2" s="8" t="s">
        <v>22</v>
      </c>
      <c r="E2" s="8"/>
      <c r="F2" s="7" t="s">
        <v>23</v>
      </c>
      <c r="G2" s="7" t="s">
        <v>24</v>
      </c>
      <c r="H2" s="7" t="s">
        <v>25</v>
      </c>
      <c r="I2" s="7" t="s">
        <v>26</v>
      </c>
      <c r="J2" s="7"/>
      <c r="K2" s="8"/>
    </row>
    <row r="3" customFormat="false" ht="14.25" hidden="false" customHeight="false" outlineLevel="0" collapsed="false">
      <c r="A3" s="7" t="s">
        <v>20</v>
      </c>
      <c r="B3" s="7" t="s">
        <v>21</v>
      </c>
      <c r="C3" s="7" t="n">
        <v>2</v>
      </c>
      <c r="D3" s="8" t="s">
        <v>27</v>
      </c>
      <c r="E3" s="8"/>
      <c r="F3" s="7" t="s">
        <v>28</v>
      </c>
      <c r="G3" s="7" t="s">
        <v>29</v>
      </c>
      <c r="H3" s="7" t="s">
        <v>30</v>
      </c>
      <c r="I3" s="7" t="s">
        <v>31</v>
      </c>
      <c r="J3" s="7"/>
      <c r="K3" s="8"/>
    </row>
    <row r="4" customFormat="false" ht="14.25" hidden="false" customHeight="false" outlineLevel="0" collapsed="false">
      <c r="A4" s="7" t="s">
        <v>20</v>
      </c>
      <c r="B4" s="7" t="s">
        <v>21</v>
      </c>
      <c r="C4" s="7" t="n">
        <v>3</v>
      </c>
      <c r="D4" s="8" t="s">
        <v>32</v>
      </c>
      <c r="E4" s="8"/>
      <c r="F4" s="7" t="s">
        <v>33</v>
      </c>
      <c r="G4" s="7" t="s">
        <v>34</v>
      </c>
      <c r="H4" s="7" t="s">
        <v>35</v>
      </c>
      <c r="I4" s="7" t="s">
        <v>36</v>
      </c>
      <c r="J4" s="7" t="s">
        <v>37</v>
      </c>
      <c r="K4" s="8"/>
    </row>
    <row r="5" customFormat="false" ht="14.25" hidden="false" customHeight="false" outlineLevel="0" collapsed="false">
      <c r="A5" s="7" t="s">
        <v>20</v>
      </c>
      <c r="B5" s="7" t="s">
        <v>21</v>
      </c>
      <c r="C5" s="7" t="n">
        <v>4</v>
      </c>
      <c r="D5" s="8" t="s">
        <v>38</v>
      </c>
      <c r="E5" s="8"/>
      <c r="F5" s="7" t="s">
        <v>39</v>
      </c>
      <c r="G5" s="7" t="s">
        <v>40</v>
      </c>
      <c r="H5" s="7" t="s">
        <v>41</v>
      </c>
      <c r="I5" s="7" t="s">
        <v>42</v>
      </c>
      <c r="J5" s="7"/>
      <c r="K5" s="8"/>
    </row>
    <row r="6" customFormat="false" ht="14.25" hidden="false" customHeight="false" outlineLevel="0" collapsed="false">
      <c r="A6" s="7" t="s">
        <v>43</v>
      </c>
      <c r="B6" s="7" t="s">
        <v>44</v>
      </c>
      <c r="C6" s="7" t="n">
        <v>1</v>
      </c>
      <c r="D6" s="8" t="s">
        <v>45</v>
      </c>
      <c r="E6" s="8"/>
      <c r="F6" s="7" t="s">
        <v>46</v>
      </c>
      <c r="G6" s="7" t="s">
        <v>47</v>
      </c>
      <c r="H6" s="7" t="s">
        <v>48</v>
      </c>
      <c r="I6" s="7" t="s">
        <v>49</v>
      </c>
      <c r="J6" s="7"/>
      <c r="K6" s="8"/>
    </row>
    <row r="7" customFormat="false" ht="14.25" hidden="false" customHeight="false" outlineLevel="0" collapsed="false">
      <c r="A7" s="7" t="s">
        <v>43</v>
      </c>
      <c r="B7" s="7" t="s">
        <v>44</v>
      </c>
      <c r="C7" s="7" t="n">
        <v>2</v>
      </c>
      <c r="D7" s="8" t="s">
        <v>50</v>
      </c>
      <c r="E7" s="8"/>
      <c r="F7" s="7" t="s">
        <v>51</v>
      </c>
      <c r="G7" s="7" t="s">
        <v>52</v>
      </c>
      <c r="H7" s="7" t="s">
        <v>53</v>
      </c>
      <c r="I7" s="7" t="s">
        <v>54</v>
      </c>
      <c r="J7" s="7"/>
      <c r="K7" s="8"/>
    </row>
    <row r="8" customFormat="false" ht="14.25" hidden="false" customHeight="false" outlineLevel="0" collapsed="false">
      <c r="A8" s="7" t="s">
        <v>43</v>
      </c>
      <c r="B8" s="7" t="s">
        <v>44</v>
      </c>
      <c r="C8" s="7" t="n">
        <v>3</v>
      </c>
      <c r="D8" s="8" t="s">
        <v>55</v>
      </c>
      <c r="E8" s="8"/>
      <c r="F8" s="7" t="s">
        <v>56</v>
      </c>
      <c r="G8" s="7" t="s">
        <v>57</v>
      </c>
      <c r="H8" s="7" t="s">
        <v>58</v>
      </c>
      <c r="I8" s="7" t="s">
        <v>59</v>
      </c>
      <c r="J8" s="7" t="s">
        <v>60</v>
      </c>
      <c r="K8" s="8"/>
    </row>
    <row r="9" customFormat="false" ht="14.25" hidden="false" customHeight="false" outlineLevel="0" collapsed="false">
      <c r="A9" s="7" t="s">
        <v>43</v>
      </c>
      <c r="B9" s="7" t="s">
        <v>44</v>
      </c>
      <c r="C9" s="7" t="n">
        <v>4</v>
      </c>
      <c r="D9" s="8" t="s">
        <v>61</v>
      </c>
      <c r="E9" s="8" t="s">
        <v>62</v>
      </c>
      <c r="F9" s="7" t="s">
        <v>63</v>
      </c>
      <c r="G9" s="7" t="s">
        <v>64</v>
      </c>
      <c r="H9" s="7" t="s">
        <v>65</v>
      </c>
      <c r="I9" s="7" t="s">
        <v>66</v>
      </c>
      <c r="J9" s="7"/>
      <c r="K9" s="8"/>
    </row>
    <row r="10" customFormat="false" ht="14.25" hidden="false" customHeight="false" outlineLevel="0" collapsed="false">
      <c r="A10" s="7" t="s">
        <v>67</v>
      </c>
      <c r="B10" s="7" t="s">
        <v>68</v>
      </c>
      <c r="C10" s="7" t="n">
        <v>1</v>
      </c>
      <c r="D10" s="8" t="s">
        <v>69</v>
      </c>
      <c r="E10" s="8"/>
      <c r="F10" s="7" t="s">
        <v>70</v>
      </c>
      <c r="G10" s="7" t="s">
        <v>71</v>
      </c>
      <c r="H10" s="7" t="s">
        <v>72</v>
      </c>
      <c r="I10" s="7" t="s">
        <v>73</v>
      </c>
      <c r="J10" s="7"/>
      <c r="K10" s="8"/>
    </row>
    <row r="11" customFormat="false" ht="14.25" hidden="false" customHeight="false" outlineLevel="0" collapsed="false">
      <c r="A11" s="7" t="s">
        <v>67</v>
      </c>
      <c r="B11" s="7" t="s">
        <v>68</v>
      </c>
      <c r="C11" s="7" t="n">
        <v>2</v>
      </c>
      <c r="D11" s="8" t="s">
        <v>74</v>
      </c>
      <c r="E11" s="8"/>
      <c r="F11" s="7" t="s">
        <v>75</v>
      </c>
      <c r="G11" s="7" t="s">
        <v>76</v>
      </c>
      <c r="H11" s="7" t="s">
        <v>77</v>
      </c>
      <c r="I11" s="7" t="s">
        <v>78</v>
      </c>
      <c r="J11" s="7"/>
      <c r="K11" s="8"/>
    </row>
    <row r="12" customFormat="false" ht="26.85" hidden="false" customHeight="false" outlineLevel="0" collapsed="false">
      <c r="A12" s="7" t="s">
        <v>67</v>
      </c>
      <c r="B12" s="7" t="s">
        <v>68</v>
      </c>
      <c r="C12" s="7" t="n">
        <v>3</v>
      </c>
      <c r="D12" s="8" t="s">
        <v>79</v>
      </c>
      <c r="E12" s="8" t="s">
        <v>80</v>
      </c>
      <c r="F12" s="7" t="s">
        <v>81</v>
      </c>
      <c r="G12" s="7" t="s">
        <v>82</v>
      </c>
      <c r="H12" s="7" t="s">
        <v>83</v>
      </c>
      <c r="I12" s="7" t="s">
        <v>84</v>
      </c>
      <c r="J12" s="7"/>
      <c r="K12" s="8"/>
    </row>
    <row r="13" customFormat="false" ht="14.25" hidden="false" customHeight="false" outlineLevel="0" collapsed="false">
      <c r="A13" s="7" t="s">
        <v>67</v>
      </c>
      <c r="B13" s="7" t="s">
        <v>68</v>
      </c>
      <c r="C13" s="7" t="n">
        <v>4</v>
      </c>
      <c r="D13" s="8" t="s">
        <v>85</v>
      </c>
      <c r="E13" s="8"/>
      <c r="F13" s="7" t="s">
        <v>86</v>
      </c>
      <c r="G13" s="7" t="s">
        <v>87</v>
      </c>
      <c r="H13" s="7" t="s">
        <v>88</v>
      </c>
      <c r="I13" s="7" t="s">
        <v>89</v>
      </c>
      <c r="J13" s="7"/>
      <c r="K13" s="8"/>
    </row>
    <row r="14" customFormat="false" ht="14.25" hidden="false" customHeight="false" outlineLevel="0" collapsed="false">
      <c r="A14" s="7" t="s">
        <v>90</v>
      </c>
      <c r="B14" s="7" t="s">
        <v>91</v>
      </c>
      <c r="C14" s="7" t="n">
        <v>1</v>
      </c>
      <c r="D14" s="8" t="s">
        <v>92</v>
      </c>
      <c r="E14" s="8"/>
      <c r="F14" s="7" t="s">
        <v>93</v>
      </c>
      <c r="G14" s="7" t="s">
        <v>94</v>
      </c>
      <c r="H14" s="7" t="s">
        <v>95</v>
      </c>
      <c r="I14" s="7" t="s">
        <v>96</v>
      </c>
      <c r="J14" s="7"/>
      <c r="K14" s="8"/>
    </row>
    <row r="15" customFormat="false" ht="14.25" hidden="false" customHeight="false" outlineLevel="0" collapsed="false">
      <c r="A15" s="7" t="s">
        <v>90</v>
      </c>
      <c r="B15" s="7" t="s">
        <v>91</v>
      </c>
      <c r="C15" s="7" t="n">
        <v>2</v>
      </c>
      <c r="D15" s="8" t="s">
        <v>97</v>
      </c>
      <c r="E15" s="8"/>
      <c r="F15" s="7" t="s">
        <v>98</v>
      </c>
      <c r="G15" s="7" t="s">
        <v>99</v>
      </c>
      <c r="H15" s="7" t="s">
        <v>100</v>
      </c>
      <c r="I15" s="7" t="s">
        <v>101</v>
      </c>
      <c r="J15" s="7"/>
      <c r="K15" s="8"/>
    </row>
    <row r="16" customFormat="false" ht="14.25" hidden="false" customHeight="false" outlineLevel="0" collapsed="false">
      <c r="A16" s="7" t="s">
        <v>90</v>
      </c>
      <c r="B16" s="7" t="s">
        <v>91</v>
      </c>
      <c r="C16" s="7" t="n">
        <v>3</v>
      </c>
      <c r="D16" s="8" t="s">
        <v>102</v>
      </c>
      <c r="E16" s="8" t="s">
        <v>103</v>
      </c>
      <c r="F16" s="7" t="s">
        <v>104</v>
      </c>
      <c r="G16" s="7" t="s">
        <v>105</v>
      </c>
      <c r="H16" s="7" t="s">
        <v>106</v>
      </c>
      <c r="I16" s="7" t="s">
        <v>107</v>
      </c>
      <c r="J16" s="7"/>
      <c r="K16" s="8"/>
    </row>
    <row r="17" customFormat="false" ht="14.25" hidden="false" customHeight="false" outlineLevel="0" collapsed="false">
      <c r="A17" s="7" t="s">
        <v>90</v>
      </c>
      <c r="B17" s="7" t="s">
        <v>91</v>
      </c>
      <c r="C17" s="7" t="n">
        <v>4</v>
      </c>
      <c r="D17" s="8" t="s">
        <v>108</v>
      </c>
      <c r="E17" s="8" t="s">
        <v>109</v>
      </c>
      <c r="F17" s="7" t="s">
        <v>110</v>
      </c>
      <c r="G17" s="7" t="s">
        <v>111</v>
      </c>
      <c r="H17" s="7" t="s">
        <v>112</v>
      </c>
      <c r="I17" s="7" t="s">
        <v>113</v>
      </c>
      <c r="J17" s="7" t="s">
        <v>114</v>
      </c>
      <c r="K17" s="8"/>
    </row>
    <row r="18" customFormat="false" ht="14.25" hidden="false" customHeight="false" outlineLevel="0" collapsed="false">
      <c r="A18" s="7" t="s">
        <v>115</v>
      </c>
      <c r="B18" s="7" t="s">
        <v>116</v>
      </c>
      <c r="C18" s="7" t="n">
        <v>1</v>
      </c>
      <c r="D18" s="8" t="s">
        <v>117</v>
      </c>
      <c r="E18" s="8"/>
      <c r="F18" s="7" t="s">
        <v>118</v>
      </c>
      <c r="G18" s="7" t="s">
        <v>119</v>
      </c>
      <c r="H18" s="7" t="s">
        <v>120</v>
      </c>
      <c r="I18" s="7" t="s">
        <v>121</v>
      </c>
      <c r="J18" s="7"/>
      <c r="K18" s="8"/>
    </row>
    <row r="19" customFormat="false" ht="14.25" hidden="false" customHeight="false" outlineLevel="0" collapsed="false">
      <c r="A19" s="7" t="s">
        <v>115</v>
      </c>
      <c r="B19" s="7" t="s">
        <v>116</v>
      </c>
      <c r="C19" s="7" t="n">
        <v>2</v>
      </c>
      <c r="D19" s="8" t="s">
        <v>122</v>
      </c>
      <c r="E19" s="8"/>
      <c r="F19" s="7" t="s">
        <v>123</v>
      </c>
      <c r="G19" s="7" t="s">
        <v>124</v>
      </c>
      <c r="H19" s="7" t="s">
        <v>125</v>
      </c>
      <c r="I19" s="7" t="s">
        <v>126</v>
      </c>
      <c r="J19" s="7"/>
      <c r="K19" s="8"/>
    </row>
    <row r="20" customFormat="false" ht="14.25" hidden="false" customHeight="false" outlineLevel="0" collapsed="false">
      <c r="A20" s="7" t="s">
        <v>115</v>
      </c>
      <c r="B20" s="7" t="s">
        <v>116</v>
      </c>
      <c r="C20" s="7" t="n">
        <v>3</v>
      </c>
      <c r="D20" s="8" t="s">
        <v>127</v>
      </c>
      <c r="E20" s="8"/>
      <c r="F20" s="7" t="s">
        <v>128</v>
      </c>
      <c r="G20" s="7" t="s">
        <v>129</v>
      </c>
      <c r="H20" s="7" t="s">
        <v>130</v>
      </c>
      <c r="I20" s="7" t="s">
        <v>131</v>
      </c>
      <c r="J20" s="7"/>
      <c r="K20" s="8"/>
    </row>
    <row r="21" customFormat="false" ht="14.25" hidden="false" customHeight="false" outlineLevel="0" collapsed="false">
      <c r="A21" s="7" t="s">
        <v>115</v>
      </c>
      <c r="B21" s="7" t="s">
        <v>116</v>
      </c>
      <c r="C21" s="7" t="n">
        <v>4</v>
      </c>
      <c r="D21" s="8" t="s">
        <v>132</v>
      </c>
      <c r="E21" s="8"/>
      <c r="F21" s="7" t="s">
        <v>133</v>
      </c>
      <c r="G21" s="7" t="s">
        <v>134</v>
      </c>
      <c r="H21" s="7" t="s">
        <v>135</v>
      </c>
      <c r="I21" s="7" t="s">
        <v>136</v>
      </c>
      <c r="J21" s="7"/>
      <c r="K21" s="8"/>
    </row>
    <row r="22" customFormat="false" ht="14.25" hidden="false" customHeight="false" outlineLevel="0" collapsed="false">
      <c r="A22" s="7" t="s">
        <v>137</v>
      </c>
      <c r="B22" s="7" t="s">
        <v>138</v>
      </c>
      <c r="C22" s="7" t="n">
        <v>1</v>
      </c>
      <c r="D22" s="8" t="s">
        <v>139</v>
      </c>
      <c r="E22" s="8"/>
      <c r="F22" s="7" t="s">
        <v>140</v>
      </c>
      <c r="G22" s="7" t="s">
        <v>141</v>
      </c>
      <c r="H22" s="7" t="s">
        <v>142</v>
      </c>
      <c r="I22" s="7" t="s">
        <v>143</v>
      </c>
      <c r="J22" s="7"/>
      <c r="K22" s="8"/>
    </row>
    <row r="23" customFormat="false" ht="14.25" hidden="false" customHeight="false" outlineLevel="0" collapsed="false">
      <c r="A23" s="7" t="s">
        <v>137</v>
      </c>
      <c r="B23" s="7" t="s">
        <v>138</v>
      </c>
      <c r="C23" s="7" t="n">
        <v>2</v>
      </c>
      <c r="D23" s="8" t="s">
        <v>144</v>
      </c>
      <c r="E23" s="8"/>
      <c r="F23" s="7" t="s">
        <v>145</v>
      </c>
      <c r="G23" s="7" t="s">
        <v>146</v>
      </c>
      <c r="H23" s="7" t="s">
        <v>147</v>
      </c>
      <c r="I23" s="7" t="s">
        <v>148</v>
      </c>
      <c r="J23" s="7"/>
      <c r="K23" s="8"/>
    </row>
    <row r="24" customFormat="false" ht="14.25" hidden="false" customHeight="false" outlineLevel="0" collapsed="false">
      <c r="A24" s="7" t="s">
        <v>137</v>
      </c>
      <c r="B24" s="7" t="s">
        <v>138</v>
      </c>
      <c r="C24" s="7" t="n">
        <v>3</v>
      </c>
      <c r="D24" s="8" t="s">
        <v>149</v>
      </c>
      <c r="E24" s="8"/>
      <c r="F24" s="7" t="s">
        <v>150</v>
      </c>
      <c r="G24" s="7" t="s">
        <v>151</v>
      </c>
      <c r="H24" s="7" t="s">
        <v>152</v>
      </c>
      <c r="I24" s="7" t="s">
        <v>153</v>
      </c>
      <c r="J24" s="7"/>
      <c r="K24" s="8"/>
    </row>
    <row r="25" customFormat="false" ht="14.25" hidden="false" customHeight="false" outlineLevel="0" collapsed="false">
      <c r="A25" s="7" t="s">
        <v>137</v>
      </c>
      <c r="B25" s="7" t="s">
        <v>138</v>
      </c>
      <c r="C25" s="7" t="n">
        <v>4</v>
      </c>
      <c r="D25" s="8" t="s">
        <v>154</v>
      </c>
      <c r="E25" s="8"/>
      <c r="F25" s="7" t="s">
        <v>155</v>
      </c>
      <c r="G25" s="7" t="s">
        <v>156</v>
      </c>
      <c r="H25" s="7" t="s">
        <v>157</v>
      </c>
      <c r="I25" s="7" t="s">
        <v>158</v>
      </c>
      <c r="J25" s="7"/>
      <c r="K25" s="8"/>
    </row>
    <row r="26" customFormat="false" ht="14.25" hidden="false" customHeight="false" outlineLevel="0" collapsed="false">
      <c r="A26" s="7" t="s">
        <v>159</v>
      </c>
      <c r="B26" s="7" t="s">
        <v>160</v>
      </c>
      <c r="C26" s="7" t="n">
        <v>1</v>
      </c>
      <c r="D26" s="8" t="s">
        <v>161</v>
      </c>
      <c r="E26" s="8"/>
      <c r="F26" s="7" t="s">
        <v>162</v>
      </c>
      <c r="G26" s="7" t="s">
        <v>163</v>
      </c>
      <c r="H26" s="7" t="s">
        <v>164</v>
      </c>
      <c r="I26" s="7" t="s">
        <v>165</v>
      </c>
      <c r="J26" s="7"/>
      <c r="K26" s="8"/>
    </row>
    <row r="27" customFormat="false" ht="14.25" hidden="false" customHeight="false" outlineLevel="0" collapsed="false">
      <c r="A27" s="7" t="s">
        <v>159</v>
      </c>
      <c r="B27" s="7" t="s">
        <v>160</v>
      </c>
      <c r="C27" s="7" t="n">
        <v>2</v>
      </c>
      <c r="D27" s="8" t="s">
        <v>166</v>
      </c>
      <c r="E27" s="8"/>
      <c r="F27" s="7" t="s">
        <v>167</v>
      </c>
      <c r="G27" s="7" t="s">
        <v>168</v>
      </c>
      <c r="H27" s="7" t="s">
        <v>169</v>
      </c>
      <c r="I27" s="7" t="s">
        <v>170</v>
      </c>
      <c r="J27" s="7"/>
      <c r="K27" s="8"/>
    </row>
    <row r="28" customFormat="false" ht="14.25" hidden="false" customHeight="false" outlineLevel="0" collapsed="false">
      <c r="A28" s="7" t="s">
        <v>159</v>
      </c>
      <c r="B28" s="7" t="s">
        <v>160</v>
      </c>
      <c r="C28" s="7" t="n">
        <v>3</v>
      </c>
      <c r="D28" s="8" t="s">
        <v>171</v>
      </c>
      <c r="E28" s="8"/>
      <c r="F28" s="7" t="s">
        <v>172</v>
      </c>
      <c r="G28" s="7" t="s">
        <v>173</v>
      </c>
      <c r="H28" s="7" t="s">
        <v>174</v>
      </c>
      <c r="I28" s="7" t="s">
        <v>175</v>
      </c>
      <c r="J28" s="7"/>
      <c r="K28" s="8"/>
    </row>
    <row r="29" customFormat="false" ht="14.25" hidden="false" customHeight="false" outlineLevel="0" collapsed="false">
      <c r="A29" s="7" t="s">
        <v>159</v>
      </c>
      <c r="B29" s="7" t="s">
        <v>160</v>
      </c>
      <c r="C29" s="7" t="n">
        <v>4</v>
      </c>
      <c r="D29" s="8" t="s">
        <v>176</v>
      </c>
      <c r="E29" s="8" t="s">
        <v>177</v>
      </c>
      <c r="F29" s="7" t="s">
        <v>178</v>
      </c>
      <c r="G29" s="7" t="s">
        <v>179</v>
      </c>
      <c r="H29" s="7" t="s">
        <v>180</v>
      </c>
      <c r="I29" s="7" t="s">
        <v>181</v>
      </c>
      <c r="J29" s="7"/>
      <c r="K29" s="8"/>
    </row>
    <row r="30" customFormat="false" ht="14.25" hidden="false" customHeight="false" outlineLevel="0" collapsed="false">
      <c r="A30" s="7" t="s">
        <v>182</v>
      </c>
      <c r="B30" s="7" t="s">
        <v>183</v>
      </c>
      <c r="C30" s="7" t="n">
        <v>1</v>
      </c>
      <c r="D30" s="8" t="s">
        <v>184</v>
      </c>
      <c r="E30" s="8"/>
      <c r="F30" s="7" t="s">
        <v>185</v>
      </c>
      <c r="G30" s="7" t="s">
        <v>186</v>
      </c>
      <c r="H30" s="7" t="s">
        <v>187</v>
      </c>
      <c r="I30" s="7" t="s">
        <v>188</v>
      </c>
      <c r="J30" s="7"/>
      <c r="K30" s="8"/>
    </row>
    <row r="31" customFormat="false" ht="14.25" hidden="false" customHeight="false" outlineLevel="0" collapsed="false">
      <c r="A31" s="7" t="s">
        <v>182</v>
      </c>
      <c r="B31" s="7" t="s">
        <v>183</v>
      </c>
      <c r="C31" s="7" t="n">
        <v>2</v>
      </c>
      <c r="D31" s="8" t="s">
        <v>189</v>
      </c>
      <c r="E31" s="8"/>
      <c r="F31" s="7" t="s">
        <v>190</v>
      </c>
      <c r="G31" s="7" t="s">
        <v>191</v>
      </c>
      <c r="H31" s="7" t="s">
        <v>192</v>
      </c>
      <c r="I31" s="7" t="s">
        <v>193</v>
      </c>
      <c r="J31" s="7"/>
      <c r="K31" s="8"/>
    </row>
    <row r="32" customFormat="false" ht="14.25" hidden="false" customHeight="false" outlineLevel="0" collapsed="false">
      <c r="A32" s="7" t="s">
        <v>182</v>
      </c>
      <c r="B32" s="7" t="s">
        <v>183</v>
      </c>
      <c r="C32" s="7" t="n">
        <v>3</v>
      </c>
      <c r="D32" s="8" t="s">
        <v>194</v>
      </c>
      <c r="E32" s="8"/>
      <c r="F32" s="7" t="s">
        <v>195</v>
      </c>
      <c r="G32" s="7" t="s">
        <v>196</v>
      </c>
      <c r="H32" s="7" t="s">
        <v>197</v>
      </c>
      <c r="I32" s="7" t="s">
        <v>198</v>
      </c>
      <c r="J32" s="7"/>
      <c r="K32" s="8"/>
    </row>
    <row r="33" customFormat="false" ht="14.25" hidden="false" customHeight="false" outlineLevel="0" collapsed="false">
      <c r="A33" s="7" t="s">
        <v>182</v>
      </c>
      <c r="B33" s="7" t="s">
        <v>183</v>
      </c>
      <c r="C33" s="7" t="n">
        <v>4</v>
      </c>
      <c r="D33" s="8" t="s">
        <v>199</v>
      </c>
      <c r="E33" s="8"/>
      <c r="F33" s="7" t="s">
        <v>200</v>
      </c>
      <c r="G33" s="7" t="s">
        <v>201</v>
      </c>
      <c r="H33" s="7" t="s">
        <v>202</v>
      </c>
      <c r="I33" s="7" t="s">
        <v>140</v>
      </c>
      <c r="J33" s="7"/>
      <c r="K33" s="8"/>
    </row>
    <row r="34" customFormat="false" ht="14.25" hidden="false" customHeight="false" outlineLevel="0" collapsed="false">
      <c r="A34" s="7" t="s">
        <v>203</v>
      </c>
      <c r="B34" s="7" t="s">
        <v>204</v>
      </c>
      <c r="C34" s="7" t="n">
        <v>1</v>
      </c>
      <c r="D34" s="8" t="s">
        <v>205</v>
      </c>
      <c r="E34" s="8"/>
      <c r="F34" s="7" t="s">
        <v>206</v>
      </c>
      <c r="G34" s="7" t="s">
        <v>207</v>
      </c>
      <c r="H34" s="7" t="s">
        <v>208</v>
      </c>
      <c r="I34" s="7" t="s">
        <v>209</v>
      </c>
      <c r="J34" s="7"/>
      <c r="K34" s="8"/>
    </row>
    <row r="35" customFormat="false" ht="14.25" hidden="false" customHeight="false" outlineLevel="0" collapsed="false">
      <c r="A35" s="7" t="s">
        <v>203</v>
      </c>
      <c r="B35" s="7" t="s">
        <v>204</v>
      </c>
      <c r="C35" s="7" t="n">
        <v>2</v>
      </c>
      <c r="D35" s="8" t="s">
        <v>210</v>
      </c>
      <c r="E35" s="8"/>
      <c r="F35" s="7" t="s">
        <v>211</v>
      </c>
      <c r="G35" s="7" t="s">
        <v>212</v>
      </c>
      <c r="H35" s="7" t="s">
        <v>213</v>
      </c>
      <c r="I35" s="7" t="s">
        <v>214</v>
      </c>
      <c r="J35" s="7"/>
      <c r="K35" s="8"/>
    </row>
    <row r="36" customFormat="false" ht="14.25" hidden="false" customHeight="false" outlineLevel="0" collapsed="false">
      <c r="A36" s="7" t="s">
        <v>203</v>
      </c>
      <c r="B36" s="7" t="s">
        <v>204</v>
      </c>
      <c r="C36" s="7" t="n">
        <v>3</v>
      </c>
      <c r="D36" s="8" t="s">
        <v>215</v>
      </c>
      <c r="E36" s="8"/>
      <c r="F36" s="7" t="s">
        <v>216</v>
      </c>
      <c r="G36" s="7" t="s">
        <v>217</v>
      </c>
      <c r="H36" s="7" t="s">
        <v>218</v>
      </c>
      <c r="I36" s="7" t="s">
        <v>219</v>
      </c>
      <c r="J36" s="7"/>
      <c r="K36" s="8"/>
    </row>
    <row r="37" customFormat="false" ht="14.25" hidden="false" customHeight="false" outlineLevel="0" collapsed="false">
      <c r="A37" s="7" t="s">
        <v>203</v>
      </c>
      <c r="B37" s="7" t="s">
        <v>204</v>
      </c>
      <c r="C37" s="7" t="n">
        <v>4</v>
      </c>
      <c r="D37" s="8" t="s">
        <v>220</v>
      </c>
      <c r="E37" s="8"/>
      <c r="F37" s="7" t="s">
        <v>221</v>
      </c>
      <c r="G37" s="7" t="s">
        <v>222</v>
      </c>
      <c r="H37" s="7" t="s">
        <v>223</v>
      </c>
      <c r="I37" s="7" t="s">
        <v>224</v>
      </c>
      <c r="J37" s="7"/>
      <c r="K37" s="8"/>
    </row>
    <row r="38" customFormat="false" ht="14.25" hidden="false" customHeight="false" outlineLevel="0" collapsed="false">
      <c r="A38" s="7" t="s">
        <v>225</v>
      </c>
      <c r="B38" s="7" t="s">
        <v>226</v>
      </c>
      <c r="C38" s="7" t="n">
        <v>1</v>
      </c>
      <c r="D38" s="8" t="s">
        <v>227</v>
      </c>
      <c r="E38" s="8"/>
      <c r="F38" s="7" t="s">
        <v>228</v>
      </c>
      <c r="G38" s="7" t="s">
        <v>229</v>
      </c>
      <c r="H38" s="7" t="s">
        <v>230</v>
      </c>
      <c r="I38" s="7" t="s">
        <v>231</v>
      </c>
      <c r="J38" s="7"/>
      <c r="K38" s="8"/>
    </row>
    <row r="39" customFormat="false" ht="14.25" hidden="false" customHeight="false" outlineLevel="0" collapsed="false">
      <c r="A39" s="7" t="s">
        <v>225</v>
      </c>
      <c r="B39" s="7" t="s">
        <v>226</v>
      </c>
      <c r="C39" s="7" t="n">
        <v>2</v>
      </c>
      <c r="D39" s="8" t="s">
        <v>232</v>
      </c>
      <c r="E39" s="8"/>
      <c r="F39" s="7" t="s">
        <v>233</v>
      </c>
      <c r="G39" s="7" t="s">
        <v>234</v>
      </c>
      <c r="H39" s="7" t="s">
        <v>235</v>
      </c>
      <c r="I39" s="7" t="s">
        <v>236</v>
      </c>
      <c r="J39" s="7"/>
      <c r="K39" s="8"/>
    </row>
    <row r="40" customFormat="false" ht="14.25" hidden="false" customHeight="false" outlineLevel="0" collapsed="false">
      <c r="A40" s="7" t="s">
        <v>225</v>
      </c>
      <c r="B40" s="7" t="s">
        <v>226</v>
      </c>
      <c r="C40" s="7" t="n">
        <v>3</v>
      </c>
      <c r="D40" s="8" t="s">
        <v>237</v>
      </c>
      <c r="E40" s="8"/>
      <c r="F40" s="7" t="s">
        <v>238</v>
      </c>
      <c r="G40" s="7" t="s">
        <v>239</v>
      </c>
      <c r="H40" s="7" t="s">
        <v>240</v>
      </c>
      <c r="I40" s="7" t="s">
        <v>241</v>
      </c>
      <c r="J40" s="7"/>
      <c r="K40" s="8"/>
    </row>
    <row r="41" customFormat="false" ht="26.85" hidden="false" customHeight="false" outlineLevel="0" collapsed="false">
      <c r="A41" s="7" t="s">
        <v>225</v>
      </c>
      <c r="B41" s="7" t="s">
        <v>226</v>
      </c>
      <c r="C41" s="7" t="n">
        <v>4</v>
      </c>
      <c r="D41" s="8" t="s">
        <v>242</v>
      </c>
      <c r="E41" s="8" t="s">
        <v>243</v>
      </c>
      <c r="F41" s="7" t="s">
        <v>244</v>
      </c>
      <c r="G41" s="7" t="s">
        <v>245</v>
      </c>
      <c r="H41" s="7" t="s">
        <v>246</v>
      </c>
      <c r="I41" s="7" t="s">
        <v>247</v>
      </c>
      <c r="J41" s="7"/>
      <c r="K41" s="8"/>
    </row>
    <row r="42" customFormat="false" ht="14.25" hidden="false" customHeight="false" outlineLevel="0" collapsed="false">
      <c r="A42" s="7" t="s">
        <v>248</v>
      </c>
      <c r="B42" s="7" t="s">
        <v>249</v>
      </c>
      <c r="C42" s="7" t="n">
        <v>1</v>
      </c>
      <c r="D42" s="8" t="s">
        <v>250</v>
      </c>
      <c r="E42" s="8"/>
      <c r="F42" s="7" t="s">
        <v>251</v>
      </c>
      <c r="G42" s="7" t="s">
        <v>252</v>
      </c>
      <c r="H42" s="7" t="s">
        <v>253</v>
      </c>
      <c r="I42" s="7" t="s">
        <v>254</v>
      </c>
      <c r="J42" s="7"/>
      <c r="K42" s="8"/>
    </row>
    <row r="43" customFormat="false" ht="14.25" hidden="false" customHeight="false" outlineLevel="0" collapsed="false">
      <c r="A43" s="7" t="s">
        <v>248</v>
      </c>
      <c r="B43" s="7" t="s">
        <v>249</v>
      </c>
      <c r="C43" s="7" t="n">
        <v>2</v>
      </c>
      <c r="D43" s="8" t="s">
        <v>255</v>
      </c>
      <c r="E43" s="8"/>
      <c r="F43" s="7" t="s">
        <v>256</v>
      </c>
      <c r="G43" s="7" t="s">
        <v>257</v>
      </c>
      <c r="H43" s="7" t="s">
        <v>258</v>
      </c>
      <c r="I43" s="7" t="s">
        <v>259</v>
      </c>
      <c r="J43" s="7"/>
      <c r="K43" s="8"/>
    </row>
    <row r="44" customFormat="false" ht="14.25" hidden="false" customHeight="false" outlineLevel="0" collapsed="false">
      <c r="A44" s="7" t="s">
        <v>248</v>
      </c>
      <c r="B44" s="7" t="s">
        <v>249</v>
      </c>
      <c r="C44" s="7" t="n">
        <v>3</v>
      </c>
      <c r="D44" s="8" t="s">
        <v>260</v>
      </c>
      <c r="E44" s="8"/>
      <c r="F44" s="7" t="s">
        <v>261</v>
      </c>
      <c r="G44" s="7" t="s">
        <v>262</v>
      </c>
      <c r="H44" s="7" t="s">
        <v>263</v>
      </c>
      <c r="I44" s="7" t="s">
        <v>264</v>
      </c>
      <c r="J44" s="7"/>
      <c r="K44" s="8"/>
    </row>
    <row r="45" customFormat="false" ht="14.25" hidden="false" customHeight="false" outlineLevel="0" collapsed="false">
      <c r="A45" s="7" t="s">
        <v>248</v>
      </c>
      <c r="B45" s="7" t="s">
        <v>249</v>
      </c>
      <c r="C45" s="7" t="n">
        <v>4</v>
      </c>
      <c r="D45" s="8" t="s">
        <v>265</v>
      </c>
      <c r="E45" s="8"/>
      <c r="F45" s="7" t="s">
        <v>266</v>
      </c>
      <c r="G45" s="7" t="s">
        <v>267</v>
      </c>
      <c r="H45" s="7" t="s">
        <v>268</v>
      </c>
      <c r="I45" s="7" t="s">
        <v>269</v>
      </c>
      <c r="J45" s="7" t="s">
        <v>270</v>
      </c>
      <c r="K45" s="8"/>
    </row>
    <row r="46" customFormat="false" ht="14.25" hidden="false" customHeight="false" outlineLevel="0" collapsed="false">
      <c r="A46" s="7" t="s">
        <v>271</v>
      </c>
      <c r="B46" s="7" t="s">
        <v>272</v>
      </c>
      <c r="C46" s="7" t="n">
        <v>1</v>
      </c>
      <c r="D46" s="8" t="s">
        <v>273</v>
      </c>
      <c r="E46" s="8"/>
      <c r="F46" s="7" t="s">
        <v>274</v>
      </c>
      <c r="G46" s="7" t="s">
        <v>275</v>
      </c>
      <c r="H46" s="7" t="s">
        <v>276</v>
      </c>
      <c r="I46" s="7" t="s">
        <v>277</v>
      </c>
      <c r="J46" s="7"/>
      <c r="K46" s="8"/>
    </row>
    <row r="47" customFormat="false" ht="26.85" hidden="false" customHeight="false" outlineLevel="0" collapsed="false">
      <c r="A47" s="7" t="s">
        <v>271</v>
      </c>
      <c r="B47" s="7" t="s">
        <v>272</v>
      </c>
      <c r="C47" s="7" t="n">
        <v>2</v>
      </c>
      <c r="D47" s="8" t="s">
        <v>278</v>
      </c>
      <c r="E47" s="8"/>
      <c r="F47" s="7" t="s">
        <v>279</v>
      </c>
      <c r="G47" s="7" t="s">
        <v>280</v>
      </c>
      <c r="H47" s="7" t="s">
        <v>281</v>
      </c>
      <c r="I47" s="7" t="s">
        <v>282</v>
      </c>
      <c r="J47" s="7"/>
      <c r="K47" s="8" t="s">
        <v>283</v>
      </c>
    </row>
    <row r="48" customFormat="false" ht="14.25" hidden="false" customHeight="false" outlineLevel="0" collapsed="false">
      <c r="A48" s="7" t="s">
        <v>271</v>
      </c>
      <c r="B48" s="7" t="s">
        <v>272</v>
      </c>
      <c r="C48" s="7" t="n">
        <v>3</v>
      </c>
      <c r="D48" s="8" t="s">
        <v>284</v>
      </c>
      <c r="E48" s="8" t="s">
        <v>285</v>
      </c>
      <c r="F48" s="7" t="s">
        <v>286</v>
      </c>
      <c r="G48" s="7" t="s">
        <v>287</v>
      </c>
      <c r="H48" s="7" t="s">
        <v>288</v>
      </c>
      <c r="I48" s="7" t="s">
        <v>289</v>
      </c>
      <c r="J48" s="7"/>
      <c r="K48" s="8" t="s">
        <v>290</v>
      </c>
    </row>
    <row r="49" customFormat="false" ht="14.25" hidden="false" customHeight="false" outlineLevel="0" collapsed="false">
      <c r="A49" s="7" t="s">
        <v>271</v>
      </c>
      <c r="B49" s="7" t="s">
        <v>272</v>
      </c>
      <c r="C49" s="7" t="n">
        <v>4</v>
      </c>
      <c r="D49" s="8" t="s">
        <v>291</v>
      </c>
      <c r="E49" s="8" t="s">
        <v>292</v>
      </c>
      <c r="F49" s="7" t="s">
        <v>293</v>
      </c>
      <c r="G49" s="7" t="s">
        <v>294</v>
      </c>
      <c r="H49" s="7" t="s">
        <v>295</v>
      </c>
      <c r="I49" s="7" t="s">
        <v>296</v>
      </c>
      <c r="J49" s="7"/>
      <c r="K49" s="8" t="s">
        <v>297</v>
      </c>
    </row>
    <row r="50" customFormat="false" ht="14.25" hidden="false" customHeight="false" outlineLevel="0" collapsed="false">
      <c r="A50" s="7" t="s">
        <v>298</v>
      </c>
      <c r="B50" s="7" t="s">
        <v>299</v>
      </c>
      <c r="C50" s="7" t="n">
        <v>1</v>
      </c>
      <c r="D50" s="8" t="s">
        <v>300</v>
      </c>
      <c r="E50" s="8"/>
      <c r="F50" s="7" t="s">
        <v>301</v>
      </c>
      <c r="G50" s="7" t="s">
        <v>302</v>
      </c>
      <c r="H50" s="7" t="s">
        <v>303</v>
      </c>
      <c r="I50" s="7" t="s">
        <v>304</v>
      </c>
      <c r="J50" s="7"/>
      <c r="K50" s="8"/>
    </row>
    <row r="51" customFormat="false" ht="14.25" hidden="false" customHeight="false" outlineLevel="0" collapsed="false">
      <c r="A51" s="7" t="s">
        <v>298</v>
      </c>
      <c r="B51" s="7" t="s">
        <v>299</v>
      </c>
      <c r="C51" s="7" t="n">
        <v>2</v>
      </c>
      <c r="D51" s="8" t="s">
        <v>305</v>
      </c>
      <c r="E51" s="8"/>
      <c r="F51" s="7" t="s">
        <v>306</v>
      </c>
      <c r="G51" s="7" t="s">
        <v>307</v>
      </c>
      <c r="H51" s="7" t="s">
        <v>308</v>
      </c>
      <c r="I51" s="7" t="s">
        <v>309</v>
      </c>
      <c r="J51" s="7"/>
      <c r="K51" s="8"/>
    </row>
    <row r="52" customFormat="false" ht="26.85" hidden="false" customHeight="false" outlineLevel="0" collapsed="false">
      <c r="A52" s="7" t="s">
        <v>298</v>
      </c>
      <c r="B52" s="7" t="s">
        <v>299</v>
      </c>
      <c r="C52" s="7" t="n">
        <v>3</v>
      </c>
      <c r="D52" s="8" t="s">
        <v>310</v>
      </c>
      <c r="E52" s="8"/>
      <c r="F52" s="7" t="s">
        <v>311</v>
      </c>
      <c r="G52" s="7" t="s">
        <v>312</v>
      </c>
      <c r="H52" s="7" t="s">
        <v>313</v>
      </c>
      <c r="I52" s="7" t="s">
        <v>314</v>
      </c>
      <c r="J52" s="7"/>
      <c r="K52" s="8" t="s">
        <v>315</v>
      </c>
    </row>
    <row r="53" customFormat="false" ht="14.25" hidden="false" customHeight="false" outlineLevel="0" collapsed="false">
      <c r="A53" s="7" t="s">
        <v>298</v>
      </c>
      <c r="B53" s="7" t="s">
        <v>299</v>
      </c>
      <c r="C53" s="7" t="n">
        <v>4</v>
      </c>
      <c r="D53" s="8" t="s">
        <v>316</v>
      </c>
      <c r="E53" s="8"/>
      <c r="F53" s="7" t="s">
        <v>317</v>
      </c>
      <c r="G53" s="7" t="s">
        <v>318</v>
      </c>
      <c r="H53" s="7" t="s">
        <v>319</v>
      </c>
      <c r="I53" s="7" t="s">
        <v>320</v>
      </c>
      <c r="J53" s="7"/>
      <c r="K53" s="8"/>
    </row>
    <row r="54" customFormat="false" ht="14.25" hidden="false" customHeight="false" outlineLevel="0" collapsed="false">
      <c r="A54" s="7" t="s">
        <v>321</v>
      </c>
      <c r="B54" s="7" t="s">
        <v>322</v>
      </c>
      <c r="C54" s="7" t="n">
        <v>1</v>
      </c>
      <c r="D54" s="8" t="s">
        <v>323</v>
      </c>
      <c r="E54" s="8"/>
      <c r="F54" s="7" t="s">
        <v>324</v>
      </c>
      <c r="G54" s="7" t="s">
        <v>325</v>
      </c>
      <c r="H54" s="7" t="s">
        <v>326</v>
      </c>
      <c r="I54" s="7" t="s">
        <v>327</v>
      </c>
      <c r="J54" s="7"/>
      <c r="K54" s="8"/>
    </row>
    <row r="55" customFormat="false" ht="14.25" hidden="false" customHeight="false" outlineLevel="0" collapsed="false">
      <c r="A55" s="7" t="s">
        <v>321</v>
      </c>
      <c r="B55" s="7" t="s">
        <v>322</v>
      </c>
      <c r="C55" s="7" t="n">
        <v>2</v>
      </c>
      <c r="D55" s="8" t="s">
        <v>328</v>
      </c>
      <c r="E55" s="8"/>
      <c r="F55" s="7" t="s">
        <v>329</v>
      </c>
      <c r="G55" s="7" t="s">
        <v>330</v>
      </c>
      <c r="H55" s="7" t="s">
        <v>331</v>
      </c>
      <c r="I55" s="7" t="s">
        <v>332</v>
      </c>
      <c r="J55" s="7"/>
      <c r="K55" s="8"/>
    </row>
    <row r="56" customFormat="false" ht="14.25" hidden="false" customHeight="false" outlineLevel="0" collapsed="false">
      <c r="A56" s="7" t="s">
        <v>321</v>
      </c>
      <c r="B56" s="7" t="s">
        <v>322</v>
      </c>
      <c r="C56" s="7" t="n">
        <v>3</v>
      </c>
      <c r="D56" s="8" t="s">
        <v>333</v>
      </c>
      <c r="E56" s="8"/>
      <c r="F56" s="7" t="s">
        <v>334</v>
      </c>
      <c r="G56" s="7" t="s">
        <v>335</v>
      </c>
      <c r="H56" s="7" t="s">
        <v>336</v>
      </c>
      <c r="I56" s="7" t="s">
        <v>337</v>
      </c>
      <c r="J56" s="7"/>
      <c r="K56" s="8" t="s">
        <v>338</v>
      </c>
    </row>
    <row r="57" customFormat="false" ht="26.85" hidden="false" customHeight="false" outlineLevel="0" collapsed="false">
      <c r="A57" s="7" t="s">
        <v>321</v>
      </c>
      <c r="B57" s="7" t="s">
        <v>322</v>
      </c>
      <c r="C57" s="7" t="n">
        <v>4</v>
      </c>
      <c r="D57" s="8" t="s">
        <v>339</v>
      </c>
      <c r="E57" s="8" t="s">
        <v>340</v>
      </c>
      <c r="F57" s="7" t="s">
        <v>341</v>
      </c>
      <c r="G57" s="7" t="s">
        <v>342</v>
      </c>
      <c r="H57" s="7" t="s">
        <v>276</v>
      </c>
      <c r="I57" s="7" t="s">
        <v>343</v>
      </c>
      <c r="J57" s="7"/>
      <c r="K57" s="8" t="s">
        <v>344</v>
      </c>
    </row>
    <row r="58" customFormat="false" ht="14.25" hidden="false" customHeight="false" outlineLevel="0" collapsed="false">
      <c r="A58" s="7" t="s">
        <v>345</v>
      </c>
      <c r="B58" s="7" t="s">
        <v>346</v>
      </c>
      <c r="C58" s="7" t="n">
        <v>1</v>
      </c>
      <c r="D58" s="8" t="s">
        <v>347</v>
      </c>
      <c r="E58" s="8"/>
      <c r="F58" s="7" t="s">
        <v>348</v>
      </c>
      <c r="G58" s="7" t="s">
        <v>349</v>
      </c>
      <c r="H58" s="7" t="s">
        <v>350</v>
      </c>
      <c r="I58" s="7" t="s">
        <v>351</v>
      </c>
      <c r="J58" s="7"/>
      <c r="K58" s="8"/>
    </row>
    <row r="59" customFormat="false" ht="14.25" hidden="false" customHeight="false" outlineLevel="0" collapsed="false">
      <c r="A59" s="7" t="s">
        <v>345</v>
      </c>
      <c r="B59" s="7" t="s">
        <v>346</v>
      </c>
      <c r="C59" s="7" t="n">
        <v>2</v>
      </c>
      <c r="D59" s="8" t="s">
        <v>352</v>
      </c>
      <c r="E59" s="8"/>
      <c r="F59" s="7" t="s">
        <v>353</v>
      </c>
      <c r="G59" s="7" t="s">
        <v>354</v>
      </c>
      <c r="H59" s="7" t="s">
        <v>355</v>
      </c>
      <c r="I59" s="7" t="s">
        <v>356</v>
      </c>
      <c r="J59" s="7"/>
      <c r="K59" s="8"/>
    </row>
    <row r="60" customFormat="false" ht="14.25" hidden="false" customHeight="false" outlineLevel="0" collapsed="false">
      <c r="A60" s="7" t="s">
        <v>345</v>
      </c>
      <c r="B60" s="7" t="s">
        <v>346</v>
      </c>
      <c r="C60" s="7" t="n">
        <v>3</v>
      </c>
      <c r="D60" s="8" t="s">
        <v>357</v>
      </c>
      <c r="E60" s="8"/>
      <c r="F60" s="7" t="s">
        <v>358</v>
      </c>
      <c r="G60" s="7" t="s">
        <v>359</v>
      </c>
      <c r="H60" s="7" t="s">
        <v>360</v>
      </c>
      <c r="I60" s="7" t="s">
        <v>361</v>
      </c>
      <c r="J60" s="7"/>
      <c r="K60" s="8" t="s">
        <v>362</v>
      </c>
    </row>
    <row r="61" customFormat="false" ht="26.85" hidden="false" customHeight="false" outlineLevel="0" collapsed="false">
      <c r="A61" s="7" t="s">
        <v>345</v>
      </c>
      <c r="B61" s="7" t="s">
        <v>346</v>
      </c>
      <c r="C61" s="7" t="n">
        <v>4</v>
      </c>
      <c r="D61" s="8" t="s">
        <v>363</v>
      </c>
      <c r="E61" s="8" t="s">
        <v>364</v>
      </c>
      <c r="F61" s="7" t="s">
        <v>365</v>
      </c>
      <c r="G61" s="7" t="s">
        <v>366</v>
      </c>
      <c r="H61" s="7" t="s">
        <v>367</v>
      </c>
      <c r="I61" s="7" t="s">
        <v>368</v>
      </c>
      <c r="J61" s="7"/>
      <c r="K61" s="8" t="s">
        <v>369</v>
      </c>
    </row>
    <row r="62" customFormat="false" ht="14.25" hidden="false" customHeight="false" outlineLevel="0" collapsed="false">
      <c r="A62" s="7" t="s">
        <v>370</v>
      </c>
      <c r="B62" s="7" t="s">
        <v>371</v>
      </c>
      <c r="C62" s="7" t="n">
        <v>1</v>
      </c>
      <c r="D62" s="8" t="s">
        <v>372</v>
      </c>
      <c r="E62" s="8"/>
      <c r="F62" s="7" t="s">
        <v>373</v>
      </c>
      <c r="G62" s="7" t="s">
        <v>374</v>
      </c>
      <c r="H62" s="7" t="s">
        <v>375</v>
      </c>
      <c r="I62" s="7" t="s">
        <v>376</v>
      </c>
      <c r="J62" s="7"/>
      <c r="K62" s="8"/>
    </row>
    <row r="63" customFormat="false" ht="14.25" hidden="false" customHeight="false" outlineLevel="0" collapsed="false">
      <c r="A63" s="7" t="s">
        <v>370</v>
      </c>
      <c r="B63" s="7" t="s">
        <v>371</v>
      </c>
      <c r="C63" s="7" t="n">
        <v>2</v>
      </c>
      <c r="D63" s="8" t="s">
        <v>377</v>
      </c>
      <c r="E63" s="8" t="s">
        <v>378</v>
      </c>
      <c r="F63" s="7" t="s">
        <v>379</v>
      </c>
      <c r="G63" s="7" t="s">
        <v>380</v>
      </c>
      <c r="H63" s="7" t="s">
        <v>381</v>
      </c>
      <c r="I63" s="7" t="s">
        <v>382</v>
      </c>
      <c r="J63" s="7"/>
      <c r="K63" s="8"/>
    </row>
    <row r="64" customFormat="false" ht="14.25" hidden="false" customHeight="false" outlineLevel="0" collapsed="false">
      <c r="A64" s="7" t="s">
        <v>370</v>
      </c>
      <c r="B64" s="7" t="s">
        <v>371</v>
      </c>
      <c r="C64" s="7" t="n">
        <v>3</v>
      </c>
      <c r="D64" s="8" t="s">
        <v>383</v>
      </c>
      <c r="E64" s="8"/>
      <c r="F64" s="7" t="s">
        <v>384</v>
      </c>
      <c r="G64" s="7" t="s">
        <v>385</v>
      </c>
      <c r="H64" s="7" t="s">
        <v>386</v>
      </c>
      <c r="I64" s="7" t="s">
        <v>387</v>
      </c>
      <c r="J64" s="7"/>
      <c r="K64" s="8"/>
    </row>
    <row r="65" customFormat="false" ht="14.25" hidden="false" customHeight="false" outlineLevel="0" collapsed="false">
      <c r="A65" s="7" t="s">
        <v>370</v>
      </c>
      <c r="B65" s="7" t="s">
        <v>371</v>
      </c>
      <c r="C65" s="7" t="n">
        <v>4</v>
      </c>
      <c r="D65" s="8" t="s">
        <v>388</v>
      </c>
      <c r="E65" s="8" t="s">
        <v>389</v>
      </c>
      <c r="F65" s="7" t="s">
        <v>390</v>
      </c>
      <c r="G65" s="7" t="s">
        <v>391</v>
      </c>
      <c r="H65" s="7" t="s">
        <v>392</v>
      </c>
      <c r="I65" s="7" t="s">
        <v>393</v>
      </c>
      <c r="J65" s="7"/>
      <c r="K65" s="8"/>
    </row>
    <row r="66" customFormat="false" ht="14.25" hidden="false" customHeight="false" outlineLevel="0" collapsed="false">
      <c r="A66" s="7" t="s">
        <v>394</v>
      </c>
      <c r="B66" s="7" t="s">
        <v>395</v>
      </c>
      <c r="C66" s="7" t="n">
        <v>1</v>
      </c>
      <c r="D66" s="8" t="s">
        <v>396</v>
      </c>
      <c r="E66" s="8"/>
      <c r="F66" s="7" t="s">
        <v>397</v>
      </c>
      <c r="G66" s="7" t="s">
        <v>398</v>
      </c>
      <c r="H66" s="7" t="s">
        <v>399</v>
      </c>
      <c r="I66" s="7" t="s">
        <v>400</v>
      </c>
      <c r="J66" s="7"/>
      <c r="K66" s="8"/>
    </row>
    <row r="67" customFormat="false" ht="26.85" hidden="false" customHeight="false" outlineLevel="0" collapsed="false">
      <c r="A67" s="7" t="s">
        <v>394</v>
      </c>
      <c r="B67" s="7" t="s">
        <v>395</v>
      </c>
      <c r="C67" s="7" t="n">
        <v>2</v>
      </c>
      <c r="D67" s="8" t="s">
        <v>401</v>
      </c>
      <c r="E67" s="8"/>
      <c r="F67" s="7" t="s">
        <v>402</v>
      </c>
      <c r="G67" s="7" t="s">
        <v>403</v>
      </c>
      <c r="H67" s="7" t="s">
        <v>404</v>
      </c>
      <c r="I67" s="7" t="s">
        <v>405</v>
      </c>
      <c r="J67" s="7"/>
      <c r="K67" s="8" t="s">
        <v>406</v>
      </c>
    </row>
    <row r="68" customFormat="false" ht="14.25" hidden="false" customHeight="false" outlineLevel="0" collapsed="false">
      <c r="A68" s="7" t="s">
        <v>394</v>
      </c>
      <c r="B68" s="7" t="s">
        <v>395</v>
      </c>
      <c r="C68" s="7" t="n">
        <v>3</v>
      </c>
      <c r="D68" s="8" t="s">
        <v>407</v>
      </c>
      <c r="E68" s="8"/>
      <c r="F68" s="7" t="s">
        <v>408</v>
      </c>
      <c r="G68" s="7" t="s">
        <v>409</v>
      </c>
      <c r="H68" s="7" t="s">
        <v>410</v>
      </c>
      <c r="I68" s="7" t="s">
        <v>411</v>
      </c>
      <c r="J68" s="7"/>
      <c r="K68" s="8"/>
    </row>
    <row r="69" customFormat="false" ht="14.25" hidden="false" customHeight="false" outlineLevel="0" collapsed="false">
      <c r="A69" s="7" t="s">
        <v>394</v>
      </c>
      <c r="B69" s="7" t="s">
        <v>395</v>
      </c>
      <c r="C69" s="7" t="n">
        <v>4</v>
      </c>
      <c r="D69" s="8" t="s">
        <v>412</v>
      </c>
      <c r="E69" s="8" t="s">
        <v>413</v>
      </c>
      <c r="F69" s="7" t="s">
        <v>414</v>
      </c>
      <c r="G69" s="7" t="s">
        <v>211</v>
      </c>
      <c r="H69" s="7" t="s">
        <v>415</v>
      </c>
      <c r="I69" s="7" t="s">
        <v>416</v>
      </c>
      <c r="J69" s="7"/>
      <c r="K69" s="8"/>
    </row>
    <row r="70" customFormat="false" ht="26.85" hidden="false" customHeight="false" outlineLevel="0" collapsed="false">
      <c r="A70" s="7" t="s">
        <v>417</v>
      </c>
      <c r="B70" s="7" t="s">
        <v>418</v>
      </c>
      <c r="C70" s="7" t="n">
        <v>1</v>
      </c>
      <c r="D70" s="8" t="s">
        <v>419</v>
      </c>
      <c r="E70" s="8"/>
      <c r="F70" s="7" t="s">
        <v>420</v>
      </c>
      <c r="G70" s="7" t="s">
        <v>421</v>
      </c>
      <c r="H70" s="7" t="s">
        <v>422</v>
      </c>
      <c r="I70" s="7" t="s">
        <v>423</v>
      </c>
      <c r="J70" s="7"/>
      <c r="K70" s="8" t="s">
        <v>424</v>
      </c>
    </row>
    <row r="71" customFormat="false" ht="14.25" hidden="false" customHeight="false" outlineLevel="0" collapsed="false">
      <c r="A71" s="7" t="s">
        <v>417</v>
      </c>
      <c r="B71" s="7" t="s">
        <v>418</v>
      </c>
      <c r="C71" s="7" t="n">
        <v>2</v>
      </c>
      <c r="D71" s="8" t="s">
        <v>425</v>
      </c>
      <c r="E71" s="8"/>
      <c r="F71" s="7" t="s">
        <v>426</v>
      </c>
      <c r="G71" s="7" t="s">
        <v>427</v>
      </c>
      <c r="H71" s="7" t="s">
        <v>428</v>
      </c>
      <c r="I71" s="7" t="s">
        <v>429</v>
      </c>
      <c r="J71" s="7"/>
      <c r="K71" s="8"/>
    </row>
    <row r="72" customFormat="false" ht="14.25" hidden="false" customHeight="false" outlineLevel="0" collapsed="false">
      <c r="A72" s="7" t="s">
        <v>417</v>
      </c>
      <c r="B72" s="7" t="s">
        <v>418</v>
      </c>
      <c r="C72" s="7" t="n">
        <v>3</v>
      </c>
      <c r="D72" s="8" t="s">
        <v>430</v>
      </c>
      <c r="E72" s="8"/>
      <c r="F72" s="7" t="s">
        <v>431</v>
      </c>
      <c r="G72" s="7" t="s">
        <v>432</v>
      </c>
      <c r="H72" s="7" t="s">
        <v>433</v>
      </c>
      <c r="I72" s="7" t="s">
        <v>434</v>
      </c>
      <c r="J72" s="7"/>
      <c r="K72" s="8"/>
    </row>
    <row r="73" customFormat="false" ht="14.25" hidden="false" customHeight="false" outlineLevel="0" collapsed="false">
      <c r="A73" s="7" t="s">
        <v>417</v>
      </c>
      <c r="B73" s="7" t="s">
        <v>418</v>
      </c>
      <c r="C73" s="7" t="n">
        <v>4</v>
      </c>
      <c r="D73" s="8" t="s">
        <v>435</v>
      </c>
      <c r="E73" s="8" t="s">
        <v>436</v>
      </c>
      <c r="F73" s="7" t="s">
        <v>437</v>
      </c>
      <c r="G73" s="7" t="s">
        <v>438</v>
      </c>
      <c r="H73" s="7" t="s">
        <v>439</v>
      </c>
      <c r="I73" s="7" t="s">
        <v>440</v>
      </c>
      <c r="J73" s="7"/>
      <c r="K73" s="8" t="s">
        <v>441</v>
      </c>
    </row>
    <row r="74" customFormat="false" ht="14.25" hidden="false" customHeight="false" outlineLevel="0" collapsed="false">
      <c r="A74" s="7" t="s">
        <v>442</v>
      </c>
      <c r="B74" s="7" t="s">
        <v>443</v>
      </c>
      <c r="C74" s="7" t="n">
        <v>1</v>
      </c>
      <c r="D74" s="8" t="s">
        <v>444</v>
      </c>
      <c r="E74" s="8"/>
      <c r="F74" s="7" t="s">
        <v>445</v>
      </c>
      <c r="G74" s="7" t="s">
        <v>446</v>
      </c>
      <c r="H74" s="7" t="s">
        <v>447</v>
      </c>
      <c r="I74" s="7" t="s">
        <v>448</v>
      </c>
      <c r="J74" s="7"/>
      <c r="K74" s="8"/>
    </row>
    <row r="75" customFormat="false" ht="14.25" hidden="false" customHeight="false" outlineLevel="0" collapsed="false">
      <c r="A75" s="7" t="s">
        <v>442</v>
      </c>
      <c r="B75" s="7" t="s">
        <v>443</v>
      </c>
      <c r="C75" s="7" t="n">
        <v>2</v>
      </c>
      <c r="D75" s="8" t="s">
        <v>449</v>
      </c>
      <c r="E75" s="8" t="s">
        <v>450</v>
      </c>
      <c r="F75" s="7" t="s">
        <v>451</v>
      </c>
      <c r="G75" s="7" t="s">
        <v>452</v>
      </c>
      <c r="H75" s="7" t="s">
        <v>453</v>
      </c>
      <c r="I75" s="7" t="s">
        <v>454</v>
      </c>
      <c r="J75" s="7"/>
      <c r="K75" s="8"/>
    </row>
    <row r="76" customFormat="false" ht="14.25" hidden="false" customHeight="false" outlineLevel="0" collapsed="false">
      <c r="A76" s="7" t="s">
        <v>442</v>
      </c>
      <c r="B76" s="7" t="s">
        <v>443</v>
      </c>
      <c r="C76" s="7" t="n">
        <v>3</v>
      </c>
      <c r="D76" s="8" t="s">
        <v>455</v>
      </c>
      <c r="E76" s="8"/>
      <c r="F76" s="7" t="s">
        <v>456</v>
      </c>
      <c r="G76" s="7" t="s">
        <v>457</v>
      </c>
      <c r="H76" s="7" t="s">
        <v>458</v>
      </c>
      <c r="I76" s="7" t="s">
        <v>459</v>
      </c>
      <c r="J76" s="7"/>
      <c r="K76" s="8" t="s">
        <v>460</v>
      </c>
    </row>
    <row r="77" customFormat="false" ht="26.85" hidden="false" customHeight="false" outlineLevel="0" collapsed="false">
      <c r="A77" s="7" t="s">
        <v>442</v>
      </c>
      <c r="B77" s="7" t="s">
        <v>443</v>
      </c>
      <c r="C77" s="7" t="n">
        <v>4</v>
      </c>
      <c r="D77" s="8" t="s">
        <v>461</v>
      </c>
      <c r="E77" s="8"/>
      <c r="F77" s="7" t="s">
        <v>462</v>
      </c>
      <c r="G77" s="7" t="s">
        <v>463</v>
      </c>
      <c r="H77" s="7" t="s">
        <v>464</v>
      </c>
      <c r="I77" s="7" t="s">
        <v>465</v>
      </c>
      <c r="J77" s="7"/>
      <c r="K77" s="8" t="s">
        <v>466</v>
      </c>
    </row>
    <row r="78" customFormat="false" ht="14.25" hidden="false" customHeight="false" outlineLevel="0" collapsed="false">
      <c r="A78" s="7" t="s">
        <v>467</v>
      </c>
      <c r="B78" s="7" t="s">
        <v>468</v>
      </c>
      <c r="C78" s="7" t="n">
        <v>1</v>
      </c>
      <c r="D78" s="8" t="s">
        <v>469</v>
      </c>
      <c r="E78" s="8"/>
      <c r="F78" s="7" t="s">
        <v>470</v>
      </c>
      <c r="G78" s="7" t="s">
        <v>471</v>
      </c>
      <c r="H78" s="7" t="s">
        <v>472</v>
      </c>
      <c r="I78" s="7" t="s">
        <v>473</v>
      </c>
      <c r="J78" s="7"/>
      <c r="K78" s="8"/>
    </row>
    <row r="79" customFormat="false" ht="14.25" hidden="false" customHeight="false" outlineLevel="0" collapsed="false">
      <c r="A79" s="7" t="s">
        <v>467</v>
      </c>
      <c r="B79" s="7" t="s">
        <v>468</v>
      </c>
      <c r="C79" s="7" t="n">
        <v>2</v>
      </c>
      <c r="D79" s="8" t="s">
        <v>474</v>
      </c>
      <c r="E79" s="8"/>
      <c r="F79" s="7" t="s">
        <v>475</v>
      </c>
      <c r="G79" s="7" t="s">
        <v>476</v>
      </c>
      <c r="H79" s="7" t="s">
        <v>477</v>
      </c>
      <c r="I79" s="7" t="s">
        <v>478</v>
      </c>
      <c r="J79" s="7"/>
      <c r="K79" s="8" t="s">
        <v>479</v>
      </c>
    </row>
    <row r="80" customFormat="false" ht="14.25" hidden="false" customHeight="false" outlineLevel="0" collapsed="false">
      <c r="A80" s="7" t="s">
        <v>467</v>
      </c>
      <c r="B80" s="7" t="s">
        <v>468</v>
      </c>
      <c r="C80" s="7" t="n">
        <v>3</v>
      </c>
      <c r="D80" s="8" t="s">
        <v>480</v>
      </c>
      <c r="E80" s="8" t="s">
        <v>481</v>
      </c>
      <c r="F80" s="7" t="s">
        <v>482</v>
      </c>
      <c r="G80" s="7" t="s">
        <v>483</v>
      </c>
      <c r="H80" s="7" t="s">
        <v>484</v>
      </c>
      <c r="I80" s="7" t="s">
        <v>485</v>
      </c>
      <c r="J80" s="7"/>
      <c r="K80" s="8" t="s">
        <v>486</v>
      </c>
    </row>
    <row r="81" customFormat="false" ht="14.25" hidden="false" customHeight="false" outlineLevel="0" collapsed="false">
      <c r="A81" s="7" t="s">
        <v>467</v>
      </c>
      <c r="B81" s="7" t="s">
        <v>468</v>
      </c>
      <c r="C81" s="7" t="n">
        <v>4</v>
      </c>
      <c r="D81" s="8" t="s">
        <v>487</v>
      </c>
      <c r="E81" s="8" t="s">
        <v>488</v>
      </c>
      <c r="F81" s="7" t="s">
        <v>489</v>
      </c>
      <c r="G81" s="7" t="s">
        <v>490</v>
      </c>
      <c r="H81" s="7" t="s">
        <v>491</v>
      </c>
      <c r="I81" s="7" t="s">
        <v>492</v>
      </c>
      <c r="J81" s="7"/>
      <c r="K81" s="8"/>
    </row>
    <row r="82" customFormat="false" ht="14.25" hidden="false" customHeight="false" outlineLevel="0" collapsed="false">
      <c r="A82" s="7" t="s">
        <v>493</v>
      </c>
      <c r="B82" s="7" t="s">
        <v>494</v>
      </c>
      <c r="C82" s="7" t="n">
        <v>1</v>
      </c>
      <c r="D82" s="8" t="s">
        <v>495</v>
      </c>
      <c r="E82" s="8"/>
      <c r="F82" s="7" t="s">
        <v>496</v>
      </c>
      <c r="G82" s="7" t="s">
        <v>497</v>
      </c>
      <c r="H82" s="7" t="s">
        <v>498</v>
      </c>
      <c r="I82" s="7" t="s">
        <v>499</v>
      </c>
      <c r="J82" s="7"/>
      <c r="K82" s="8"/>
    </row>
    <row r="83" customFormat="false" ht="26.85" hidden="false" customHeight="false" outlineLevel="0" collapsed="false">
      <c r="A83" s="7" t="s">
        <v>493</v>
      </c>
      <c r="B83" s="7" t="s">
        <v>494</v>
      </c>
      <c r="C83" s="7" t="n">
        <v>2</v>
      </c>
      <c r="D83" s="8" t="s">
        <v>500</v>
      </c>
      <c r="E83" s="8" t="s">
        <v>501</v>
      </c>
      <c r="F83" s="7" t="s">
        <v>502</v>
      </c>
      <c r="G83" s="7" t="s">
        <v>503</v>
      </c>
      <c r="H83" s="7" t="s">
        <v>504</v>
      </c>
      <c r="I83" s="7" t="s">
        <v>505</v>
      </c>
      <c r="J83" s="7"/>
      <c r="K83" s="8" t="s">
        <v>506</v>
      </c>
    </row>
    <row r="84" customFormat="false" ht="14.25" hidden="false" customHeight="false" outlineLevel="0" collapsed="false">
      <c r="A84" s="7" t="s">
        <v>493</v>
      </c>
      <c r="B84" s="7" t="s">
        <v>494</v>
      </c>
      <c r="C84" s="7" t="n">
        <v>3</v>
      </c>
      <c r="D84" s="8" t="s">
        <v>507</v>
      </c>
      <c r="E84" s="8"/>
      <c r="F84" s="7" t="s">
        <v>508</v>
      </c>
      <c r="G84" s="7" t="s">
        <v>509</v>
      </c>
      <c r="H84" s="7" t="s">
        <v>510</v>
      </c>
      <c r="I84" s="7" t="s">
        <v>511</v>
      </c>
      <c r="J84" s="7"/>
      <c r="K84" s="8" t="s">
        <v>338</v>
      </c>
    </row>
    <row r="85" customFormat="false" ht="14.25" hidden="false" customHeight="false" outlineLevel="0" collapsed="false">
      <c r="A85" s="7" t="s">
        <v>493</v>
      </c>
      <c r="B85" s="7" t="s">
        <v>494</v>
      </c>
      <c r="C85" s="7" t="n">
        <v>4</v>
      </c>
      <c r="D85" s="8" t="s">
        <v>512</v>
      </c>
      <c r="E85" s="8" t="s">
        <v>513</v>
      </c>
      <c r="F85" s="7" t="s">
        <v>514</v>
      </c>
      <c r="G85" s="7" t="s">
        <v>515</v>
      </c>
      <c r="H85" s="7" t="s">
        <v>251</v>
      </c>
      <c r="I85" s="7" t="s">
        <v>516</v>
      </c>
      <c r="J85" s="7"/>
      <c r="K85" s="8" t="s">
        <v>517</v>
      </c>
    </row>
    <row r="86" customFormat="false" ht="14.25" hidden="false" customHeight="false" outlineLevel="0" collapsed="false">
      <c r="A86" s="7" t="s">
        <v>518</v>
      </c>
      <c r="B86" s="7" t="s">
        <v>519</v>
      </c>
      <c r="C86" s="7" t="n">
        <v>1</v>
      </c>
      <c r="D86" s="8" t="s">
        <v>520</v>
      </c>
      <c r="E86" s="8"/>
      <c r="F86" s="7" t="s">
        <v>521</v>
      </c>
      <c r="G86" s="7" t="s">
        <v>522</v>
      </c>
      <c r="H86" s="7" t="s">
        <v>523</v>
      </c>
      <c r="I86" s="7" t="s">
        <v>524</v>
      </c>
      <c r="J86" s="7"/>
      <c r="K86" s="8"/>
    </row>
    <row r="87" customFormat="false" ht="14.25" hidden="false" customHeight="false" outlineLevel="0" collapsed="false">
      <c r="A87" s="7" t="s">
        <v>518</v>
      </c>
      <c r="B87" s="7" t="s">
        <v>519</v>
      </c>
      <c r="C87" s="7" t="n">
        <v>2</v>
      </c>
      <c r="D87" s="8" t="s">
        <v>525</v>
      </c>
      <c r="E87" s="8"/>
      <c r="F87" s="7" t="s">
        <v>526</v>
      </c>
      <c r="G87" s="7" t="s">
        <v>527</v>
      </c>
      <c r="H87" s="7" t="s">
        <v>528</v>
      </c>
      <c r="I87" s="7" t="s">
        <v>529</v>
      </c>
      <c r="J87" s="7"/>
      <c r="K87" s="8"/>
    </row>
    <row r="88" customFormat="false" ht="14.25" hidden="false" customHeight="false" outlineLevel="0" collapsed="false">
      <c r="A88" s="7" t="s">
        <v>518</v>
      </c>
      <c r="B88" s="7" t="s">
        <v>519</v>
      </c>
      <c r="C88" s="7" t="n">
        <v>3</v>
      </c>
      <c r="D88" s="8" t="s">
        <v>530</v>
      </c>
      <c r="E88" s="8"/>
      <c r="F88" s="7" t="s">
        <v>531</v>
      </c>
      <c r="G88" s="7" t="s">
        <v>532</v>
      </c>
      <c r="H88" s="7" t="s">
        <v>533</v>
      </c>
      <c r="I88" s="7" t="s">
        <v>534</v>
      </c>
      <c r="J88" s="7"/>
      <c r="K88" s="8"/>
    </row>
    <row r="89" customFormat="false" ht="14.25" hidden="false" customHeight="false" outlineLevel="0" collapsed="false">
      <c r="A89" s="7" t="s">
        <v>518</v>
      </c>
      <c r="B89" s="7" t="s">
        <v>519</v>
      </c>
      <c r="C89" s="7" t="n">
        <v>4</v>
      </c>
      <c r="D89" s="8" t="s">
        <v>535</v>
      </c>
      <c r="E89" s="8" t="s">
        <v>536</v>
      </c>
      <c r="F89" s="7" t="s">
        <v>151</v>
      </c>
      <c r="G89" s="7" t="s">
        <v>537</v>
      </c>
      <c r="H89" s="7" t="s">
        <v>538</v>
      </c>
      <c r="I89" s="7" t="s">
        <v>539</v>
      </c>
      <c r="J89" s="7"/>
      <c r="K89" s="8" t="s">
        <v>540</v>
      </c>
    </row>
    <row r="90" customFormat="false" ht="14.25" hidden="false" customHeight="false" outlineLevel="0" collapsed="false">
      <c r="A90" s="7" t="s">
        <v>541</v>
      </c>
      <c r="B90" s="7" t="s">
        <v>542</v>
      </c>
      <c r="C90" s="7" t="n">
        <v>1</v>
      </c>
      <c r="D90" s="8" t="s">
        <v>543</v>
      </c>
      <c r="E90" s="8"/>
      <c r="F90" s="7" t="s">
        <v>544</v>
      </c>
      <c r="G90" s="7" t="s">
        <v>545</v>
      </c>
      <c r="H90" s="7" t="s">
        <v>546</v>
      </c>
      <c r="I90" s="7" t="s">
        <v>547</v>
      </c>
      <c r="J90" s="7"/>
      <c r="K90" s="8"/>
    </row>
    <row r="91" customFormat="false" ht="14.25" hidden="false" customHeight="false" outlineLevel="0" collapsed="false">
      <c r="A91" s="7" t="s">
        <v>541</v>
      </c>
      <c r="B91" s="7" t="s">
        <v>542</v>
      </c>
      <c r="C91" s="7" t="n">
        <v>2</v>
      </c>
      <c r="D91" s="8" t="s">
        <v>548</v>
      </c>
      <c r="E91" s="8"/>
      <c r="F91" s="7" t="s">
        <v>549</v>
      </c>
      <c r="G91" s="7" t="s">
        <v>550</v>
      </c>
      <c r="H91" s="7" t="s">
        <v>551</v>
      </c>
      <c r="I91" s="7" t="s">
        <v>552</v>
      </c>
      <c r="J91" s="7"/>
      <c r="K91" s="8"/>
    </row>
    <row r="92" customFormat="false" ht="14.25" hidden="false" customHeight="false" outlineLevel="0" collapsed="false">
      <c r="A92" s="7" t="s">
        <v>541</v>
      </c>
      <c r="B92" s="7" t="s">
        <v>542</v>
      </c>
      <c r="C92" s="7" t="n">
        <v>3</v>
      </c>
      <c r="D92" s="8" t="s">
        <v>553</v>
      </c>
      <c r="E92" s="8"/>
      <c r="F92" s="7" t="s">
        <v>554</v>
      </c>
      <c r="G92" s="7" t="s">
        <v>555</v>
      </c>
      <c r="H92" s="7" t="s">
        <v>556</v>
      </c>
      <c r="I92" s="7" t="s">
        <v>557</v>
      </c>
      <c r="J92" s="7"/>
      <c r="K92" s="8"/>
    </row>
    <row r="93" customFormat="false" ht="14.25" hidden="false" customHeight="false" outlineLevel="0" collapsed="false">
      <c r="A93" s="7" t="s">
        <v>541</v>
      </c>
      <c r="B93" s="7" t="s">
        <v>542</v>
      </c>
      <c r="C93" s="7" t="n">
        <v>4</v>
      </c>
      <c r="D93" s="8" t="s">
        <v>558</v>
      </c>
      <c r="E93" s="8" t="s">
        <v>559</v>
      </c>
      <c r="F93" s="7" t="s">
        <v>560</v>
      </c>
      <c r="G93" s="7" t="s">
        <v>561</v>
      </c>
      <c r="H93" s="7" t="s">
        <v>562</v>
      </c>
      <c r="I93" s="7" t="s">
        <v>563</v>
      </c>
      <c r="J93" s="7"/>
      <c r="K93" s="8"/>
    </row>
    <row r="94" customFormat="false" ht="14.25" hidden="false" customHeight="false" outlineLevel="0" collapsed="false">
      <c r="A94" s="7" t="s">
        <v>564</v>
      </c>
      <c r="B94" s="7" t="s">
        <v>565</v>
      </c>
      <c r="C94" s="7" t="n">
        <v>1</v>
      </c>
      <c r="D94" s="8" t="s">
        <v>566</v>
      </c>
      <c r="E94" s="8"/>
      <c r="F94" s="7" t="s">
        <v>567</v>
      </c>
      <c r="G94" s="7" t="s">
        <v>568</v>
      </c>
      <c r="H94" s="7" t="s">
        <v>569</v>
      </c>
      <c r="I94" s="7" t="s">
        <v>570</v>
      </c>
      <c r="J94" s="7"/>
      <c r="K94" s="8"/>
    </row>
    <row r="95" customFormat="false" ht="14.25" hidden="false" customHeight="false" outlineLevel="0" collapsed="false">
      <c r="A95" s="7" t="s">
        <v>564</v>
      </c>
      <c r="B95" s="7" t="s">
        <v>565</v>
      </c>
      <c r="C95" s="7" t="n">
        <v>2</v>
      </c>
      <c r="D95" s="8" t="s">
        <v>571</v>
      </c>
      <c r="E95" s="8"/>
      <c r="F95" s="7" t="s">
        <v>572</v>
      </c>
      <c r="G95" s="7" t="s">
        <v>573</v>
      </c>
      <c r="H95" s="7" t="s">
        <v>574</v>
      </c>
      <c r="I95" s="7" t="s">
        <v>575</v>
      </c>
      <c r="J95" s="7"/>
      <c r="K95" s="8"/>
    </row>
    <row r="96" customFormat="false" ht="14.25" hidden="false" customHeight="false" outlineLevel="0" collapsed="false">
      <c r="A96" s="7" t="s">
        <v>564</v>
      </c>
      <c r="B96" s="7" t="s">
        <v>565</v>
      </c>
      <c r="C96" s="7" t="n">
        <v>3</v>
      </c>
      <c r="D96" s="8" t="s">
        <v>576</v>
      </c>
      <c r="E96" s="8"/>
      <c r="F96" s="7" t="s">
        <v>577</v>
      </c>
      <c r="G96" s="7" t="s">
        <v>578</v>
      </c>
      <c r="H96" s="7" t="s">
        <v>579</v>
      </c>
      <c r="I96" s="7" t="s">
        <v>580</v>
      </c>
      <c r="J96" s="7"/>
      <c r="K96" s="8"/>
    </row>
    <row r="97" customFormat="false" ht="14.25" hidden="false" customHeight="false" outlineLevel="0" collapsed="false">
      <c r="A97" s="7" t="s">
        <v>564</v>
      </c>
      <c r="B97" s="7" t="s">
        <v>565</v>
      </c>
      <c r="C97" s="7" t="n">
        <v>4</v>
      </c>
      <c r="D97" s="8" t="s">
        <v>581</v>
      </c>
      <c r="E97" s="8"/>
      <c r="F97" s="7" t="s">
        <v>582</v>
      </c>
      <c r="G97" s="7" t="s">
        <v>583</v>
      </c>
      <c r="H97" s="7" t="s">
        <v>584</v>
      </c>
      <c r="I97" s="7" t="s">
        <v>585</v>
      </c>
      <c r="J97" s="7" t="s">
        <v>586</v>
      </c>
      <c r="K9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sheetData>
    <row r="1" customFormat="false" ht="14.25" hidden="false" customHeight="false" outlineLevel="0" collapsed="false">
      <c r="A1" s="2" t="s">
        <v>9</v>
      </c>
      <c r="B1" s="2" t="s">
        <v>587</v>
      </c>
      <c r="C1" s="2" t="s">
        <v>588</v>
      </c>
      <c r="D1" s="2"/>
      <c r="E1" s="2" t="s">
        <v>589</v>
      </c>
    </row>
    <row r="2" customFormat="false" ht="14.25" hidden="false" customHeight="false" outlineLevel="0" collapsed="false">
      <c r="A2" s="0" t="s">
        <v>20</v>
      </c>
      <c r="B2" s="0" t="n">
        <v>1</v>
      </c>
      <c r="C2" s="0" t="s">
        <v>24</v>
      </c>
      <c r="E2" s="0" t="s">
        <v>20</v>
      </c>
    </row>
    <row r="3" customFormat="false" ht="14.25" hidden="false" customHeight="false" outlineLevel="0" collapsed="false">
      <c r="A3" s="0" t="s">
        <v>20</v>
      </c>
      <c r="B3" s="0" t="n">
        <v>2</v>
      </c>
      <c r="C3" s="0" t="s">
        <v>40</v>
      </c>
      <c r="E3" s="0" t="s">
        <v>43</v>
      </c>
    </row>
    <row r="4" customFormat="false" ht="14.25" hidden="false" customHeight="false" outlineLevel="0" collapsed="false">
      <c r="A4" s="0" t="s">
        <v>20</v>
      </c>
      <c r="B4" s="0" t="n">
        <v>3</v>
      </c>
      <c r="C4" s="0" t="s">
        <v>36</v>
      </c>
      <c r="E4" s="0" t="s">
        <v>67</v>
      </c>
    </row>
    <row r="5" customFormat="false" ht="14.25" hidden="false" customHeight="false" outlineLevel="0" collapsed="false">
      <c r="A5" s="0" t="s">
        <v>20</v>
      </c>
      <c r="B5" s="0" t="n">
        <v>4</v>
      </c>
      <c r="C5" s="0" t="s">
        <v>34</v>
      </c>
      <c r="E5" s="0" t="s">
        <v>90</v>
      </c>
    </row>
    <row r="6" customFormat="false" ht="14.25" hidden="false" customHeight="false" outlineLevel="0" collapsed="false">
      <c r="A6" s="0" t="s">
        <v>20</v>
      </c>
      <c r="B6" s="0" t="n">
        <v>5</v>
      </c>
      <c r="C6" s="0" t="s">
        <v>41</v>
      </c>
      <c r="E6" s="0" t="s">
        <v>115</v>
      </c>
    </row>
    <row r="7" customFormat="false" ht="14.25" hidden="false" customHeight="false" outlineLevel="0" collapsed="false">
      <c r="A7" s="0" t="s">
        <v>20</v>
      </c>
      <c r="B7" s="0" t="n">
        <v>6</v>
      </c>
      <c r="C7" s="0" t="s">
        <v>28</v>
      </c>
      <c r="E7" s="0" t="s">
        <v>137</v>
      </c>
    </row>
    <row r="8" customFormat="false" ht="14.25" hidden="false" customHeight="false" outlineLevel="0" collapsed="false">
      <c r="A8" s="0" t="s">
        <v>20</v>
      </c>
      <c r="B8" s="0" t="n">
        <v>7</v>
      </c>
      <c r="C8" s="0" t="s">
        <v>25</v>
      </c>
      <c r="E8" s="0" t="s">
        <v>159</v>
      </c>
    </row>
    <row r="9" customFormat="false" ht="14.25" hidden="false" customHeight="false" outlineLevel="0" collapsed="false">
      <c r="A9" s="0" t="s">
        <v>20</v>
      </c>
      <c r="B9" s="0" t="n">
        <v>8</v>
      </c>
      <c r="C9" s="0" t="s">
        <v>39</v>
      </c>
      <c r="E9" s="0" t="s">
        <v>182</v>
      </c>
    </row>
    <row r="10" customFormat="false" ht="14.25" hidden="false" customHeight="false" outlineLevel="0" collapsed="false">
      <c r="A10" s="0" t="s">
        <v>20</v>
      </c>
      <c r="B10" s="0" t="n">
        <v>9</v>
      </c>
      <c r="C10" s="0" t="s">
        <v>29</v>
      </c>
      <c r="E10" s="0" t="s">
        <v>203</v>
      </c>
    </row>
    <row r="11" customFormat="false" ht="14.25" hidden="false" customHeight="false" outlineLevel="0" collapsed="false">
      <c r="A11" s="0" t="s">
        <v>20</v>
      </c>
      <c r="B11" s="0" t="n">
        <v>10</v>
      </c>
      <c r="C11" s="0" t="s">
        <v>31</v>
      </c>
      <c r="E11" s="0" t="s">
        <v>225</v>
      </c>
    </row>
    <row r="12" customFormat="false" ht="14.25" hidden="false" customHeight="false" outlineLevel="0" collapsed="false">
      <c r="A12" s="0" t="s">
        <v>20</v>
      </c>
      <c r="B12" s="0" t="n">
        <v>11</v>
      </c>
      <c r="C12" s="0" t="s">
        <v>35</v>
      </c>
      <c r="E12" s="0" t="s">
        <v>248</v>
      </c>
    </row>
    <row r="13" customFormat="false" ht="14.25" hidden="false" customHeight="false" outlineLevel="0" collapsed="false">
      <c r="A13" s="0" t="s">
        <v>20</v>
      </c>
      <c r="B13" s="0" t="n">
        <v>12</v>
      </c>
      <c r="C13" s="0" t="s">
        <v>26</v>
      </c>
      <c r="E13" s="0" t="s">
        <v>271</v>
      </c>
    </row>
    <row r="14" customFormat="false" ht="14.25" hidden="false" customHeight="false" outlineLevel="0" collapsed="false">
      <c r="A14" s="0" t="s">
        <v>20</v>
      </c>
      <c r="B14" s="0" t="n">
        <v>13</v>
      </c>
      <c r="C14" s="0" t="s">
        <v>33</v>
      </c>
      <c r="E14" s="0" t="s">
        <v>298</v>
      </c>
    </row>
    <row r="15" customFormat="false" ht="14.25" hidden="false" customHeight="false" outlineLevel="0" collapsed="false">
      <c r="A15" s="0" t="s">
        <v>20</v>
      </c>
      <c r="B15" s="0" t="n">
        <v>14</v>
      </c>
      <c r="C15" s="0" t="s">
        <v>23</v>
      </c>
      <c r="E15" s="0" t="s">
        <v>321</v>
      </c>
    </row>
    <row r="16" customFormat="false" ht="14.25" hidden="false" customHeight="false" outlineLevel="0" collapsed="false">
      <c r="A16" s="0" t="s">
        <v>20</v>
      </c>
      <c r="B16" s="0" t="n">
        <v>15</v>
      </c>
      <c r="C16" s="0" t="s">
        <v>42</v>
      </c>
      <c r="E16" s="0" t="s">
        <v>345</v>
      </c>
    </row>
    <row r="17" customFormat="false" ht="14.25" hidden="false" customHeight="false" outlineLevel="0" collapsed="false">
      <c r="A17" s="0" t="s">
        <v>20</v>
      </c>
      <c r="B17" s="0" t="n">
        <v>16</v>
      </c>
      <c r="C17" s="0" t="s">
        <v>30</v>
      </c>
      <c r="E17" s="0" t="s">
        <v>370</v>
      </c>
    </row>
    <row r="18" customFormat="false" ht="14.25" hidden="false" customHeight="false" outlineLevel="0" collapsed="false">
      <c r="A18" s="0" t="s">
        <v>43</v>
      </c>
      <c r="B18" s="0" t="n">
        <v>1</v>
      </c>
      <c r="C18" s="0" t="s">
        <v>48</v>
      </c>
      <c r="E18" s="0" t="s">
        <v>394</v>
      </c>
    </row>
    <row r="19" customFormat="false" ht="14.25" hidden="false" customHeight="false" outlineLevel="0" collapsed="false">
      <c r="A19" s="0" t="s">
        <v>43</v>
      </c>
      <c r="B19" s="0" t="n">
        <v>2</v>
      </c>
      <c r="C19" s="0" t="s">
        <v>47</v>
      </c>
      <c r="E19" s="0" t="s">
        <v>417</v>
      </c>
    </row>
    <row r="20" customFormat="false" ht="14.25" hidden="false" customHeight="false" outlineLevel="0" collapsed="false">
      <c r="A20" s="0" t="s">
        <v>43</v>
      </c>
      <c r="B20" s="0" t="n">
        <v>3</v>
      </c>
      <c r="C20" s="0" t="s">
        <v>65</v>
      </c>
      <c r="E20" s="0" t="s">
        <v>442</v>
      </c>
    </row>
    <row r="21" customFormat="false" ht="14.25" hidden="false" customHeight="false" outlineLevel="0" collapsed="false">
      <c r="A21" s="0" t="s">
        <v>43</v>
      </c>
      <c r="B21" s="0" t="n">
        <v>4</v>
      </c>
      <c r="C21" s="0" t="s">
        <v>52</v>
      </c>
      <c r="E21" s="0" t="s">
        <v>467</v>
      </c>
    </row>
    <row r="22" customFormat="false" ht="14.25" hidden="false" customHeight="false" outlineLevel="0" collapsed="false">
      <c r="A22" s="0" t="s">
        <v>43</v>
      </c>
      <c r="B22" s="0" t="n">
        <v>5</v>
      </c>
      <c r="C22" s="0" t="s">
        <v>59</v>
      </c>
      <c r="E22" s="0" t="s">
        <v>493</v>
      </c>
    </row>
    <row r="23" customFormat="false" ht="14.25" hidden="false" customHeight="false" outlineLevel="0" collapsed="false">
      <c r="A23" s="0" t="s">
        <v>43</v>
      </c>
      <c r="B23" s="0" t="n">
        <v>6</v>
      </c>
      <c r="C23" s="0" t="s">
        <v>64</v>
      </c>
      <c r="E23" s="0" t="s">
        <v>518</v>
      </c>
    </row>
    <row r="24" customFormat="false" ht="14.25" hidden="false" customHeight="false" outlineLevel="0" collapsed="false">
      <c r="A24" s="0" t="s">
        <v>43</v>
      </c>
      <c r="B24" s="0" t="n">
        <v>7</v>
      </c>
      <c r="C24" s="0" t="s">
        <v>46</v>
      </c>
      <c r="E24" s="0" t="s">
        <v>541</v>
      </c>
    </row>
    <row r="25" customFormat="false" ht="14.25" hidden="false" customHeight="false" outlineLevel="0" collapsed="false">
      <c r="A25" s="0" t="s">
        <v>43</v>
      </c>
      <c r="B25" s="0" t="n">
        <v>8</v>
      </c>
      <c r="C25" s="0" t="s">
        <v>49</v>
      </c>
      <c r="E25" s="0" t="s">
        <v>564</v>
      </c>
    </row>
    <row r="26" customFormat="false" ht="14.25" hidden="false" customHeight="false" outlineLevel="0" collapsed="false">
      <c r="A26" s="0" t="s">
        <v>43</v>
      </c>
      <c r="B26" s="0" t="n">
        <v>9</v>
      </c>
      <c r="C26" s="0" t="s">
        <v>58</v>
      </c>
    </row>
    <row r="27" customFormat="false" ht="14.25" hidden="false" customHeight="false" outlineLevel="0" collapsed="false">
      <c r="A27" s="0" t="s">
        <v>43</v>
      </c>
      <c r="B27" s="0" t="n">
        <v>10</v>
      </c>
      <c r="C27" s="0" t="s">
        <v>56</v>
      </c>
    </row>
    <row r="28" customFormat="false" ht="14.25" hidden="false" customHeight="false" outlineLevel="0" collapsed="false">
      <c r="A28" s="0" t="s">
        <v>43</v>
      </c>
      <c r="B28" s="0" t="n">
        <v>11</v>
      </c>
      <c r="C28" s="0" t="s">
        <v>57</v>
      </c>
    </row>
    <row r="29" customFormat="false" ht="14.25" hidden="false" customHeight="false" outlineLevel="0" collapsed="false">
      <c r="A29" s="0" t="s">
        <v>43</v>
      </c>
      <c r="B29" s="0" t="n">
        <v>12</v>
      </c>
      <c r="C29" s="0" t="s">
        <v>54</v>
      </c>
    </row>
    <row r="30" customFormat="false" ht="14.25" hidden="false" customHeight="false" outlineLevel="0" collapsed="false">
      <c r="A30" s="0" t="s">
        <v>43</v>
      </c>
      <c r="B30" s="0" t="n">
        <v>13</v>
      </c>
      <c r="C30" s="0" t="s">
        <v>63</v>
      </c>
    </row>
    <row r="31" customFormat="false" ht="14.25" hidden="false" customHeight="false" outlineLevel="0" collapsed="false">
      <c r="A31" s="0" t="s">
        <v>43</v>
      </c>
      <c r="B31" s="0" t="n">
        <v>14</v>
      </c>
      <c r="C31" s="0" t="s">
        <v>66</v>
      </c>
    </row>
    <row r="32" customFormat="false" ht="14.25" hidden="false" customHeight="false" outlineLevel="0" collapsed="false">
      <c r="A32" s="0" t="s">
        <v>43</v>
      </c>
      <c r="B32" s="0" t="n">
        <v>15</v>
      </c>
      <c r="C32" s="0" t="s">
        <v>53</v>
      </c>
    </row>
    <row r="33" customFormat="false" ht="14.25" hidden="false" customHeight="false" outlineLevel="0" collapsed="false">
      <c r="A33" s="0" t="s">
        <v>43</v>
      </c>
      <c r="B33" s="0" t="n">
        <v>16</v>
      </c>
      <c r="C33" s="0" t="s">
        <v>51</v>
      </c>
    </row>
    <row r="34" customFormat="false" ht="14.25" hidden="false" customHeight="false" outlineLevel="0" collapsed="false">
      <c r="A34" s="0" t="s">
        <v>67</v>
      </c>
      <c r="B34" s="0" t="n">
        <v>1</v>
      </c>
      <c r="C34" s="0" t="s">
        <v>86</v>
      </c>
    </row>
    <row r="35" customFormat="false" ht="14.25" hidden="false" customHeight="false" outlineLevel="0" collapsed="false">
      <c r="A35" s="0" t="s">
        <v>67</v>
      </c>
      <c r="B35" s="0" t="n">
        <v>2</v>
      </c>
      <c r="C35" s="0" t="s">
        <v>75</v>
      </c>
    </row>
    <row r="36" customFormat="false" ht="14.25" hidden="false" customHeight="false" outlineLevel="0" collapsed="false">
      <c r="A36" s="0" t="s">
        <v>67</v>
      </c>
      <c r="B36" s="0" t="n">
        <v>3</v>
      </c>
      <c r="C36" s="0" t="s">
        <v>73</v>
      </c>
    </row>
    <row r="37" customFormat="false" ht="14.25" hidden="false" customHeight="false" outlineLevel="0" collapsed="false">
      <c r="A37" s="0" t="s">
        <v>67</v>
      </c>
      <c r="B37" s="0" t="n">
        <v>4</v>
      </c>
      <c r="C37" s="0" t="s">
        <v>70</v>
      </c>
    </row>
    <row r="38" customFormat="false" ht="14.25" hidden="false" customHeight="false" outlineLevel="0" collapsed="false">
      <c r="A38" s="0" t="s">
        <v>67</v>
      </c>
      <c r="B38" s="0" t="n">
        <v>5</v>
      </c>
      <c r="C38" s="0" t="s">
        <v>72</v>
      </c>
    </row>
    <row r="39" customFormat="false" ht="14.25" hidden="false" customHeight="false" outlineLevel="0" collapsed="false">
      <c r="A39" s="0" t="s">
        <v>67</v>
      </c>
      <c r="B39" s="0" t="n">
        <v>6</v>
      </c>
      <c r="C39" s="0" t="s">
        <v>82</v>
      </c>
    </row>
    <row r="40" customFormat="false" ht="14.25" hidden="false" customHeight="false" outlineLevel="0" collapsed="false">
      <c r="A40" s="0" t="s">
        <v>67</v>
      </c>
      <c r="B40" s="0" t="n">
        <v>7</v>
      </c>
      <c r="C40" s="0" t="s">
        <v>77</v>
      </c>
    </row>
    <row r="41" customFormat="false" ht="14.25" hidden="false" customHeight="false" outlineLevel="0" collapsed="false">
      <c r="A41" s="0" t="s">
        <v>67</v>
      </c>
      <c r="B41" s="0" t="n">
        <v>8</v>
      </c>
      <c r="C41" s="0" t="s">
        <v>84</v>
      </c>
    </row>
    <row r="42" customFormat="false" ht="14.25" hidden="false" customHeight="false" outlineLevel="0" collapsed="false">
      <c r="A42" s="0" t="s">
        <v>67</v>
      </c>
      <c r="B42" s="0" t="n">
        <v>9</v>
      </c>
      <c r="C42" s="0" t="s">
        <v>89</v>
      </c>
    </row>
    <row r="43" customFormat="false" ht="14.25" hidden="false" customHeight="false" outlineLevel="0" collapsed="false">
      <c r="A43" s="0" t="s">
        <v>67</v>
      </c>
      <c r="B43" s="0" t="n">
        <v>10</v>
      </c>
      <c r="C43" s="0" t="s">
        <v>83</v>
      </c>
    </row>
    <row r="44" customFormat="false" ht="14.25" hidden="false" customHeight="false" outlineLevel="0" collapsed="false">
      <c r="A44" s="0" t="s">
        <v>67</v>
      </c>
      <c r="B44" s="0" t="n">
        <v>11</v>
      </c>
      <c r="C44" s="0" t="s">
        <v>87</v>
      </c>
    </row>
    <row r="45" customFormat="false" ht="14.25" hidden="false" customHeight="false" outlineLevel="0" collapsed="false">
      <c r="A45" s="0" t="s">
        <v>67</v>
      </c>
      <c r="B45" s="0" t="n">
        <v>12</v>
      </c>
      <c r="C45" s="0" t="s">
        <v>78</v>
      </c>
    </row>
    <row r="46" customFormat="false" ht="14.25" hidden="false" customHeight="false" outlineLevel="0" collapsed="false">
      <c r="A46" s="0" t="s">
        <v>67</v>
      </c>
      <c r="B46" s="0" t="n">
        <v>13</v>
      </c>
      <c r="C46" s="0" t="s">
        <v>81</v>
      </c>
    </row>
    <row r="47" customFormat="false" ht="14.25" hidden="false" customHeight="false" outlineLevel="0" collapsed="false">
      <c r="A47" s="0" t="s">
        <v>67</v>
      </c>
      <c r="B47" s="0" t="n">
        <v>14</v>
      </c>
      <c r="C47" s="0" t="s">
        <v>88</v>
      </c>
    </row>
    <row r="48" customFormat="false" ht="14.25" hidden="false" customHeight="false" outlineLevel="0" collapsed="false">
      <c r="A48" s="0" t="s">
        <v>67</v>
      </c>
      <c r="B48" s="0" t="n">
        <v>15</v>
      </c>
      <c r="C48" s="0" t="s">
        <v>71</v>
      </c>
    </row>
    <row r="49" customFormat="false" ht="14.25" hidden="false" customHeight="false" outlineLevel="0" collapsed="false">
      <c r="A49" s="0" t="s">
        <v>67</v>
      </c>
      <c r="B49" s="0" t="n">
        <v>16</v>
      </c>
      <c r="C49" s="0" t="s">
        <v>76</v>
      </c>
    </row>
    <row r="50" customFormat="false" ht="14.25" hidden="false" customHeight="false" outlineLevel="0" collapsed="false">
      <c r="A50" s="0" t="s">
        <v>90</v>
      </c>
      <c r="B50" s="0" t="n">
        <v>1</v>
      </c>
      <c r="C50" s="0" t="s">
        <v>99</v>
      </c>
    </row>
    <row r="51" customFormat="false" ht="14.25" hidden="false" customHeight="false" outlineLevel="0" collapsed="false">
      <c r="A51" s="0" t="s">
        <v>90</v>
      </c>
      <c r="B51" s="0" t="n">
        <v>2</v>
      </c>
      <c r="C51" s="0" t="s">
        <v>95</v>
      </c>
    </row>
    <row r="52" customFormat="false" ht="14.25" hidden="false" customHeight="false" outlineLevel="0" collapsed="false">
      <c r="A52" s="0" t="s">
        <v>90</v>
      </c>
      <c r="B52" s="0" t="n">
        <v>3</v>
      </c>
      <c r="C52" s="0" t="s">
        <v>104</v>
      </c>
    </row>
    <row r="53" customFormat="false" ht="14.25" hidden="false" customHeight="false" outlineLevel="0" collapsed="false">
      <c r="A53" s="0" t="s">
        <v>90</v>
      </c>
      <c r="B53" s="0" t="n">
        <v>4</v>
      </c>
      <c r="C53" s="0" t="s">
        <v>107</v>
      </c>
    </row>
    <row r="54" customFormat="false" ht="14.25" hidden="false" customHeight="false" outlineLevel="0" collapsed="false">
      <c r="A54" s="0" t="s">
        <v>90</v>
      </c>
      <c r="B54" s="0" t="n">
        <v>5</v>
      </c>
      <c r="C54" s="0" t="s">
        <v>112</v>
      </c>
    </row>
    <row r="55" customFormat="false" ht="14.25" hidden="false" customHeight="false" outlineLevel="0" collapsed="false">
      <c r="A55" s="0" t="s">
        <v>90</v>
      </c>
      <c r="B55" s="0" t="n">
        <v>6</v>
      </c>
      <c r="C55" s="0" t="s">
        <v>93</v>
      </c>
    </row>
    <row r="56" customFormat="false" ht="14.25" hidden="false" customHeight="false" outlineLevel="0" collapsed="false">
      <c r="A56" s="0" t="s">
        <v>90</v>
      </c>
      <c r="B56" s="0" t="n">
        <v>7</v>
      </c>
      <c r="C56" s="0" t="s">
        <v>111</v>
      </c>
    </row>
    <row r="57" customFormat="false" ht="14.25" hidden="false" customHeight="false" outlineLevel="0" collapsed="false">
      <c r="A57" s="0" t="s">
        <v>90</v>
      </c>
      <c r="B57" s="0" t="n">
        <v>8</v>
      </c>
      <c r="C57" s="0" t="s">
        <v>98</v>
      </c>
    </row>
    <row r="58" customFormat="false" ht="14.25" hidden="false" customHeight="false" outlineLevel="0" collapsed="false">
      <c r="A58" s="0" t="s">
        <v>90</v>
      </c>
      <c r="B58" s="0" t="n">
        <v>9</v>
      </c>
      <c r="C58" s="0" t="s">
        <v>113</v>
      </c>
    </row>
    <row r="59" customFormat="false" ht="14.25" hidden="false" customHeight="false" outlineLevel="0" collapsed="false">
      <c r="A59" s="0" t="s">
        <v>90</v>
      </c>
      <c r="B59" s="0" t="n">
        <v>10</v>
      </c>
      <c r="C59" s="0" t="s">
        <v>100</v>
      </c>
    </row>
    <row r="60" customFormat="false" ht="14.25" hidden="false" customHeight="false" outlineLevel="0" collapsed="false">
      <c r="A60" s="0" t="s">
        <v>90</v>
      </c>
      <c r="B60" s="0" t="n">
        <v>11</v>
      </c>
      <c r="C60" s="0" t="s">
        <v>96</v>
      </c>
    </row>
    <row r="61" customFormat="false" ht="14.25" hidden="false" customHeight="false" outlineLevel="0" collapsed="false">
      <c r="A61" s="0" t="s">
        <v>90</v>
      </c>
      <c r="B61" s="0" t="n">
        <v>12</v>
      </c>
      <c r="C61" s="0" t="s">
        <v>101</v>
      </c>
    </row>
    <row r="62" customFormat="false" ht="14.25" hidden="false" customHeight="false" outlineLevel="0" collapsed="false">
      <c r="A62" s="0" t="s">
        <v>90</v>
      </c>
      <c r="B62" s="0" t="n">
        <v>13</v>
      </c>
      <c r="C62" s="0" t="s">
        <v>94</v>
      </c>
    </row>
    <row r="63" customFormat="false" ht="14.25" hidden="false" customHeight="false" outlineLevel="0" collapsed="false">
      <c r="A63" s="0" t="s">
        <v>90</v>
      </c>
      <c r="B63" s="0" t="n">
        <v>14</v>
      </c>
      <c r="C63" s="0" t="s">
        <v>105</v>
      </c>
    </row>
    <row r="64" customFormat="false" ht="14.25" hidden="false" customHeight="false" outlineLevel="0" collapsed="false">
      <c r="A64" s="0" t="s">
        <v>90</v>
      </c>
      <c r="B64" s="0" t="n">
        <v>15</v>
      </c>
      <c r="C64" s="0" t="s">
        <v>110</v>
      </c>
    </row>
    <row r="65" customFormat="false" ht="14.25" hidden="false" customHeight="false" outlineLevel="0" collapsed="false">
      <c r="A65" s="0" t="s">
        <v>90</v>
      </c>
      <c r="B65" s="0" t="n">
        <v>16</v>
      </c>
      <c r="C65" s="0" t="s">
        <v>106</v>
      </c>
    </row>
    <row r="66" customFormat="false" ht="14.25" hidden="false" customHeight="false" outlineLevel="0" collapsed="false">
      <c r="A66" s="0" t="s">
        <v>115</v>
      </c>
      <c r="B66" s="0" t="n">
        <v>1</v>
      </c>
      <c r="C66" s="0" t="s">
        <v>121</v>
      </c>
    </row>
    <row r="67" customFormat="false" ht="14.25" hidden="false" customHeight="false" outlineLevel="0" collapsed="false">
      <c r="A67" s="0" t="s">
        <v>115</v>
      </c>
      <c r="B67" s="0" t="n">
        <v>2</v>
      </c>
      <c r="C67" s="0" t="s">
        <v>136</v>
      </c>
    </row>
    <row r="68" customFormat="false" ht="14.25" hidden="false" customHeight="false" outlineLevel="0" collapsed="false">
      <c r="A68" s="0" t="s">
        <v>115</v>
      </c>
      <c r="B68" s="0" t="n">
        <v>3</v>
      </c>
      <c r="C68" s="0" t="s">
        <v>128</v>
      </c>
    </row>
    <row r="69" customFormat="false" ht="14.25" hidden="false" customHeight="false" outlineLevel="0" collapsed="false">
      <c r="A69" s="0" t="s">
        <v>115</v>
      </c>
      <c r="B69" s="0" t="n">
        <v>4</v>
      </c>
      <c r="C69" s="0" t="s">
        <v>131</v>
      </c>
    </row>
    <row r="70" customFormat="false" ht="14.25" hidden="false" customHeight="false" outlineLevel="0" collapsed="false">
      <c r="A70" s="0" t="s">
        <v>115</v>
      </c>
      <c r="B70" s="0" t="n">
        <v>5</v>
      </c>
      <c r="C70" s="0" t="s">
        <v>118</v>
      </c>
    </row>
    <row r="71" customFormat="false" ht="14.25" hidden="false" customHeight="false" outlineLevel="0" collapsed="false">
      <c r="A71" s="0" t="s">
        <v>115</v>
      </c>
      <c r="B71" s="0" t="n">
        <v>6</v>
      </c>
      <c r="C71" s="0" t="s">
        <v>123</v>
      </c>
    </row>
    <row r="72" customFormat="false" ht="14.25" hidden="false" customHeight="false" outlineLevel="0" collapsed="false">
      <c r="A72" s="0" t="s">
        <v>115</v>
      </c>
      <c r="B72" s="0" t="n">
        <v>7</v>
      </c>
      <c r="C72" s="0" t="s">
        <v>133</v>
      </c>
    </row>
    <row r="73" customFormat="false" ht="14.25" hidden="false" customHeight="false" outlineLevel="0" collapsed="false">
      <c r="A73" s="0" t="s">
        <v>115</v>
      </c>
      <c r="B73" s="0" t="n">
        <v>8</v>
      </c>
      <c r="C73" s="0" t="s">
        <v>120</v>
      </c>
    </row>
    <row r="74" customFormat="false" ht="14.25" hidden="false" customHeight="false" outlineLevel="0" collapsed="false">
      <c r="A74" s="0" t="s">
        <v>115</v>
      </c>
      <c r="B74" s="0" t="n">
        <v>9</v>
      </c>
      <c r="C74" s="0" t="s">
        <v>119</v>
      </c>
    </row>
    <row r="75" customFormat="false" ht="14.25" hidden="false" customHeight="false" outlineLevel="0" collapsed="false">
      <c r="A75" s="0" t="s">
        <v>115</v>
      </c>
      <c r="B75" s="0" t="n">
        <v>10</v>
      </c>
      <c r="C75" s="0" t="s">
        <v>125</v>
      </c>
    </row>
    <row r="76" customFormat="false" ht="14.25" hidden="false" customHeight="false" outlineLevel="0" collapsed="false">
      <c r="A76" s="0" t="s">
        <v>115</v>
      </c>
      <c r="B76" s="0" t="n">
        <v>11</v>
      </c>
      <c r="C76" s="0" t="s">
        <v>135</v>
      </c>
    </row>
    <row r="77" customFormat="false" ht="14.25" hidden="false" customHeight="false" outlineLevel="0" collapsed="false">
      <c r="A77" s="0" t="s">
        <v>115</v>
      </c>
      <c r="B77" s="0" t="n">
        <v>12</v>
      </c>
      <c r="C77" s="0" t="s">
        <v>130</v>
      </c>
    </row>
    <row r="78" customFormat="false" ht="14.25" hidden="false" customHeight="false" outlineLevel="0" collapsed="false">
      <c r="A78" s="0" t="s">
        <v>115</v>
      </c>
      <c r="B78" s="0" t="n">
        <v>13</v>
      </c>
      <c r="C78" s="0" t="s">
        <v>134</v>
      </c>
    </row>
    <row r="79" customFormat="false" ht="14.25" hidden="false" customHeight="false" outlineLevel="0" collapsed="false">
      <c r="A79" s="0" t="s">
        <v>115</v>
      </c>
      <c r="B79" s="0" t="n">
        <v>14</v>
      </c>
      <c r="C79" s="0" t="s">
        <v>126</v>
      </c>
    </row>
    <row r="80" customFormat="false" ht="14.25" hidden="false" customHeight="false" outlineLevel="0" collapsed="false">
      <c r="A80" s="0" t="s">
        <v>115</v>
      </c>
      <c r="B80" s="0" t="n">
        <v>15</v>
      </c>
      <c r="C80" s="0" t="s">
        <v>129</v>
      </c>
    </row>
    <row r="81" customFormat="false" ht="14.25" hidden="false" customHeight="false" outlineLevel="0" collapsed="false">
      <c r="A81" s="0" t="s">
        <v>115</v>
      </c>
      <c r="B81" s="0" t="n">
        <v>16</v>
      </c>
      <c r="C81" s="0" t="s">
        <v>124</v>
      </c>
    </row>
    <row r="82" customFormat="false" ht="14.25" hidden="false" customHeight="false" outlineLevel="0" collapsed="false">
      <c r="A82" s="0" t="s">
        <v>137</v>
      </c>
      <c r="B82" s="0" t="n">
        <v>1</v>
      </c>
      <c r="C82" s="0" t="s">
        <v>157</v>
      </c>
    </row>
    <row r="83" customFormat="false" ht="14.25" hidden="false" customHeight="false" outlineLevel="0" collapsed="false">
      <c r="A83" s="0" t="s">
        <v>137</v>
      </c>
      <c r="B83" s="0" t="n">
        <v>2</v>
      </c>
      <c r="C83" s="0" t="s">
        <v>152</v>
      </c>
    </row>
    <row r="84" customFormat="false" ht="14.25" hidden="false" customHeight="false" outlineLevel="0" collapsed="false">
      <c r="A84" s="0" t="s">
        <v>137</v>
      </c>
      <c r="B84" s="0" t="n">
        <v>3</v>
      </c>
      <c r="C84" s="0" t="s">
        <v>143</v>
      </c>
    </row>
    <row r="85" customFormat="false" ht="14.25" hidden="false" customHeight="false" outlineLevel="0" collapsed="false">
      <c r="A85" s="0" t="s">
        <v>137</v>
      </c>
      <c r="B85" s="0" t="n">
        <v>4</v>
      </c>
      <c r="C85" s="0" t="s">
        <v>151</v>
      </c>
    </row>
    <row r="86" customFormat="false" ht="14.25" hidden="false" customHeight="false" outlineLevel="0" collapsed="false">
      <c r="A86" s="0" t="s">
        <v>137</v>
      </c>
      <c r="B86" s="0" t="n">
        <v>5</v>
      </c>
      <c r="C86" s="0" t="s">
        <v>155</v>
      </c>
    </row>
    <row r="87" customFormat="false" ht="14.25" hidden="false" customHeight="false" outlineLevel="0" collapsed="false">
      <c r="A87" s="0" t="s">
        <v>137</v>
      </c>
      <c r="B87" s="0" t="n">
        <v>6</v>
      </c>
      <c r="C87" s="0" t="s">
        <v>153</v>
      </c>
    </row>
    <row r="88" customFormat="false" ht="14.25" hidden="false" customHeight="false" outlineLevel="0" collapsed="false">
      <c r="A88" s="0" t="s">
        <v>137</v>
      </c>
      <c r="B88" s="0" t="n">
        <v>7</v>
      </c>
      <c r="C88" s="0" t="s">
        <v>142</v>
      </c>
    </row>
    <row r="89" customFormat="false" ht="14.25" hidden="false" customHeight="false" outlineLevel="0" collapsed="false">
      <c r="A89" s="0" t="s">
        <v>137</v>
      </c>
      <c r="B89" s="0" t="n">
        <v>8</v>
      </c>
      <c r="C89" s="0" t="s">
        <v>158</v>
      </c>
    </row>
    <row r="90" customFormat="false" ht="14.25" hidden="false" customHeight="false" outlineLevel="0" collapsed="false">
      <c r="A90" s="0" t="s">
        <v>137</v>
      </c>
      <c r="B90" s="0" t="n">
        <v>9</v>
      </c>
      <c r="C90" s="0" t="s">
        <v>146</v>
      </c>
    </row>
    <row r="91" customFormat="false" ht="14.25" hidden="false" customHeight="false" outlineLevel="0" collapsed="false">
      <c r="A91" s="0" t="s">
        <v>137</v>
      </c>
      <c r="B91" s="0" t="n">
        <v>10</v>
      </c>
      <c r="C91" s="0" t="s">
        <v>150</v>
      </c>
    </row>
    <row r="92" customFormat="false" ht="14.25" hidden="false" customHeight="false" outlineLevel="0" collapsed="false">
      <c r="A92" s="0" t="s">
        <v>137</v>
      </c>
      <c r="B92" s="0" t="n">
        <v>11</v>
      </c>
      <c r="C92" s="0" t="s">
        <v>140</v>
      </c>
    </row>
    <row r="93" customFormat="false" ht="14.25" hidden="false" customHeight="false" outlineLevel="0" collapsed="false">
      <c r="A93" s="0" t="s">
        <v>137</v>
      </c>
      <c r="B93" s="0" t="n">
        <v>12</v>
      </c>
      <c r="C93" s="0" t="s">
        <v>148</v>
      </c>
    </row>
    <row r="94" customFormat="false" ht="14.25" hidden="false" customHeight="false" outlineLevel="0" collapsed="false">
      <c r="A94" s="0" t="s">
        <v>137</v>
      </c>
      <c r="B94" s="0" t="n">
        <v>13</v>
      </c>
      <c r="C94" s="0" t="s">
        <v>147</v>
      </c>
    </row>
    <row r="95" customFormat="false" ht="14.25" hidden="false" customHeight="false" outlineLevel="0" collapsed="false">
      <c r="A95" s="0" t="s">
        <v>137</v>
      </c>
      <c r="B95" s="0" t="n">
        <v>14</v>
      </c>
      <c r="C95" s="0" t="s">
        <v>141</v>
      </c>
    </row>
    <row r="96" customFormat="false" ht="14.25" hidden="false" customHeight="false" outlineLevel="0" collapsed="false">
      <c r="A96" s="0" t="s">
        <v>137</v>
      </c>
      <c r="B96" s="0" t="n">
        <v>15</v>
      </c>
      <c r="C96" s="0" t="s">
        <v>145</v>
      </c>
    </row>
    <row r="97" customFormat="false" ht="14.25" hidden="false" customHeight="false" outlineLevel="0" collapsed="false">
      <c r="A97" s="0" t="s">
        <v>137</v>
      </c>
      <c r="B97" s="0" t="n">
        <v>16</v>
      </c>
      <c r="C97" s="0" t="s">
        <v>156</v>
      </c>
    </row>
    <row r="98" customFormat="false" ht="14.25" hidden="false" customHeight="false" outlineLevel="0" collapsed="false">
      <c r="A98" s="0" t="s">
        <v>159</v>
      </c>
      <c r="B98" s="0" t="n">
        <v>1</v>
      </c>
      <c r="C98" s="0" t="s">
        <v>169</v>
      </c>
    </row>
    <row r="99" customFormat="false" ht="14.25" hidden="false" customHeight="false" outlineLevel="0" collapsed="false">
      <c r="A99" s="0" t="s">
        <v>159</v>
      </c>
      <c r="B99" s="0" t="n">
        <v>2</v>
      </c>
      <c r="C99" s="0" t="s">
        <v>167</v>
      </c>
    </row>
    <row r="100" customFormat="false" ht="14.25" hidden="false" customHeight="false" outlineLevel="0" collapsed="false">
      <c r="A100" s="0" t="s">
        <v>159</v>
      </c>
      <c r="B100" s="0" t="n">
        <v>3</v>
      </c>
      <c r="C100" s="0" t="s">
        <v>165</v>
      </c>
    </row>
    <row r="101" customFormat="false" ht="14.25" hidden="false" customHeight="false" outlineLevel="0" collapsed="false">
      <c r="A101" s="0" t="s">
        <v>159</v>
      </c>
      <c r="B101" s="0" t="n">
        <v>4</v>
      </c>
      <c r="C101" s="0" t="s">
        <v>179</v>
      </c>
    </row>
    <row r="102" customFormat="false" ht="14.25" hidden="false" customHeight="false" outlineLevel="0" collapsed="false">
      <c r="A102" s="0" t="s">
        <v>159</v>
      </c>
      <c r="B102" s="0" t="n">
        <v>5</v>
      </c>
      <c r="C102" s="0" t="s">
        <v>163</v>
      </c>
    </row>
    <row r="103" customFormat="false" ht="14.25" hidden="false" customHeight="false" outlineLevel="0" collapsed="false">
      <c r="A103" s="0" t="s">
        <v>159</v>
      </c>
      <c r="B103" s="0" t="n">
        <v>6</v>
      </c>
      <c r="C103" s="0" t="s">
        <v>172</v>
      </c>
    </row>
    <row r="104" customFormat="false" ht="14.25" hidden="false" customHeight="false" outlineLevel="0" collapsed="false">
      <c r="A104" s="0" t="s">
        <v>159</v>
      </c>
      <c r="B104" s="0" t="n">
        <v>7</v>
      </c>
      <c r="C104" s="0" t="s">
        <v>175</v>
      </c>
    </row>
    <row r="105" customFormat="false" ht="14.25" hidden="false" customHeight="false" outlineLevel="0" collapsed="false">
      <c r="A105" s="0" t="s">
        <v>159</v>
      </c>
      <c r="B105" s="0" t="n">
        <v>8</v>
      </c>
      <c r="C105" s="0" t="s">
        <v>168</v>
      </c>
    </row>
    <row r="106" customFormat="false" ht="14.25" hidden="false" customHeight="false" outlineLevel="0" collapsed="false">
      <c r="A106" s="0" t="s">
        <v>159</v>
      </c>
      <c r="B106" s="0" t="n">
        <v>9</v>
      </c>
      <c r="C106" s="0" t="s">
        <v>181</v>
      </c>
    </row>
    <row r="107" customFormat="false" ht="14.25" hidden="false" customHeight="false" outlineLevel="0" collapsed="false">
      <c r="A107" s="0" t="s">
        <v>159</v>
      </c>
      <c r="B107" s="0" t="n">
        <v>10</v>
      </c>
      <c r="C107" s="0" t="s">
        <v>173</v>
      </c>
    </row>
    <row r="108" customFormat="false" ht="14.25" hidden="false" customHeight="false" outlineLevel="0" collapsed="false">
      <c r="A108" s="0" t="s">
        <v>159</v>
      </c>
      <c r="B108" s="0" t="n">
        <v>11</v>
      </c>
      <c r="C108" s="0" t="s">
        <v>164</v>
      </c>
    </row>
    <row r="109" customFormat="false" ht="14.25" hidden="false" customHeight="false" outlineLevel="0" collapsed="false">
      <c r="A109" s="0" t="s">
        <v>159</v>
      </c>
      <c r="B109" s="0" t="n">
        <v>12</v>
      </c>
      <c r="C109" s="0" t="s">
        <v>170</v>
      </c>
    </row>
    <row r="110" customFormat="false" ht="14.25" hidden="false" customHeight="false" outlineLevel="0" collapsed="false">
      <c r="A110" s="0" t="s">
        <v>159</v>
      </c>
      <c r="B110" s="0" t="n">
        <v>13</v>
      </c>
      <c r="C110" s="0" t="s">
        <v>180</v>
      </c>
    </row>
    <row r="111" customFormat="false" ht="14.25" hidden="false" customHeight="false" outlineLevel="0" collapsed="false">
      <c r="A111" s="0" t="s">
        <v>159</v>
      </c>
      <c r="B111" s="0" t="n">
        <v>14</v>
      </c>
      <c r="C111" s="0" t="s">
        <v>162</v>
      </c>
    </row>
    <row r="112" customFormat="false" ht="14.25" hidden="false" customHeight="false" outlineLevel="0" collapsed="false">
      <c r="A112" s="0" t="s">
        <v>159</v>
      </c>
      <c r="B112" s="0" t="n">
        <v>15</v>
      </c>
      <c r="C112" s="0" t="s">
        <v>174</v>
      </c>
    </row>
    <row r="113" customFormat="false" ht="14.25" hidden="false" customHeight="false" outlineLevel="0" collapsed="false">
      <c r="A113" s="0" t="s">
        <v>159</v>
      </c>
      <c r="B113" s="0" t="n">
        <v>16</v>
      </c>
      <c r="C113" s="0" t="s">
        <v>178</v>
      </c>
    </row>
    <row r="114" customFormat="false" ht="14.25" hidden="false" customHeight="false" outlineLevel="0" collapsed="false">
      <c r="A114" s="0" t="s">
        <v>182</v>
      </c>
      <c r="B114" s="0" t="n">
        <v>1</v>
      </c>
      <c r="C114" s="0" t="s">
        <v>185</v>
      </c>
    </row>
    <row r="115" customFormat="false" ht="14.25" hidden="false" customHeight="false" outlineLevel="0" collapsed="false">
      <c r="A115" s="0" t="s">
        <v>182</v>
      </c>
      <c r="B115" s="0" t="n">
        <v>2</v>
      </c>
      <c r="C115" s="0" t="s">
        <v>193</v>
      </c>
    </row>
    <row r="116" customFormat="false" ht="14.25" hidden="false" customHeight="false" outlineLevel="0" collapsed="false">
      <c r="A116" s="0" t="s">
        <v>182</v>
      </c>
      <c r="B116" s="0" t="n">
        <v>3</v>
      </c>
      <c r="C116" s="0" t="s">
        <v>202</v>
      </c>
    </row>
    <row r="117" customFormat="false" ht="14.25" hidden="false" customHeight="false" outlineLevel="0" collapsed="false">
      <c r="A117" s="0" t="s">
        <v>182</v>
      </c>
      <c r="B117" s="0" t="n">
        <v>4</v>
      </c>
      <c r="C117" s="0" t="s">
        <v>198</v>
      </c>
    </row>
    <row r="118" customFormat="false" ht="14.25" hidden="false" customHeight="false" outlineLevel="0" collapsed="false">
      <c r="A118" s="0" t="s">
        <v>182</v>
      </c>
      <c r="B118" s="0" t="n">
        <v>5</v>
      </c>
      <c r="C118" s="0" t="s">
        <v>187</v>
      </c>
    </row>
    <row r="119" customFormat="false" ht="14.25" hidden="false" customHeight="false" outlineLevel="0" collapsed="false">
      <c r="A119" s="0" t="s">
        <v>182</v>
      </c>
      <c r="B119" s="0" t="n">
        <v>6</v>
      </c>
      <c r="C119" s="0" t="s">
        <v>190</v>
      </c>
    </row>
    <row r="120" customFormat="false" ht="14.25" hidden="false" customHeight="false" outlineLevel="0" collapsed="false">
      <c r="A120" s="0" t="s">
        <v>182</v>
      </c>
      <c r="B120" s="0" t="n">
        <v>7</v>
      </c>
      <c r="C120" s="0" t="s">
        <v>196</v>
      </c>
    </row>
    <row r="121" customFormat="false" ht="14.25" hidden="false" customHeight="false" outlineLevel="0" collapsed="false">
      <c r="A121" s="0" t="s">
        <v>182</v>
      </c>
      <c r="B121" s="0" t="n">
        <v>8</v>
      </c>
      <c r="C121" s="0" t="s">
        <v>140</v>
      </c>
    </row>
    <row r="122" customFormat="false" ht="14.25" hidden="false" customHeight="false" outlineLevel="0" collapsed="false">
      <c r="A122" s="0" t="s">
        <v>182</v>
      </c>
      <c r="B122" s="0" t="n">
        <v>9</v>
      </c>
      <c r="C122" s="0" t="s">
        <v>192</v>
      </c>
    </row>
    <row r="123" customFormat="false" ht="14.25" hidden="false" customHeight="false" outlineLevel="0" collapsed="false">
      <c r="A123" s="0" t="s">
        <v>182</v>
      </c>
      <c r="B123" s="0" t="n">
        <v>10</v>
      </c>
      <c r="C123" s="0" t="s">
        <v>191</v>
      </c>
    </row>
    <row r="124" customFormat="false" ht="14.25" hidden="false" customHeight="false" outlineLevel="0" collapsed="false">
      <c r="A124" s="0" t="s">
        <v>182</v>
      </c>
      <c r="B124" s="0" t="n">
        <v>11</v>
      </c>
      <c r="C124" s="0" t="s">
        <v>186</v>
      </c>
    </row>
    <row r="125" customFormat="false" ht="14.25" hidden="false" customHeight="false" outlineLevel="0" collapsed="false">
      <c r="A125" s="0" t="s">
        <v>182</v>
      </c>
      <c r="B125" s="0" t="n">
        <v>12</v>
      </c>
      <c r="C125" s="0" t="s">
        <v>197</v>
      </c>
    </row>
    <row r="126" customFormat="false" ht="14.25" hidden="false" customHeight="false" outlineLevel="0" collapsed="false">
      <c r="A126" s="0" t="s">
        <v>182</v>
      </c>
      <c r="B126" s="0" t="n">
        <v>13</v>
      </c>
      <c r="C126" s="0" t="s">
        <v>195</v>
      </c>
    </row>
    <row r="127" customFormat="false" ht="14.25" hidden="false" customHeight="false" outlineLevel="0" collapsed="false">
      <c r="A127" s="0" t="s">
        <v>182</v>
      </c>
      <c r="B127" s="0" t="n">
        <v>14</v>
      </c>
      <c r="C127" s="0" t="s">
        <v>200</v>
      </c>
    </row>
    <row r="128" customFormat="false" ht="14.25" hidden="false" customHeight="false" outlineLevel="0" collapsed="false">
      <c r="A128" s="0" t="s">
        <v>182</v>
      </c>
      <c r="B128" s="0" t="n">
        <v>15</v>
      </c>
      <c r="C128" s="0" t="s">
        <v>188</v>
      </c>
    </row>
    <row r="129" customFormat="false" ht="14.25" hidden="false" customHeight="false" outlineLevel="0" collapsed="false">
      <c r="A129" s="0" t="s">
        <v>182</v>
      </c>
      <c r="B129" s="0" t="n">
        <v>16</v>
      </c>
      <c r="C129" s="0" t="s">
        <v>201</v>
      </c>
    </row>
    <row r="130" customFormat="false" ht="14.25" hidden="false" customHeight="false" outlineLevel="0" collapsed="false">
      <c r="A130" s="0" t="s">
        <v>203</v>
      </c>
      <c r="B130" s="0" t="n">
        <v>1</v>
      </c>
      <c r="C130" s="0" t="s">
        <v>224</v>
      </c>
    </row>
    <row r="131" customFormat="false" ht="14.25" hidden="false" customHeight="false" outlineLevel="0" collapsed="false">
      <c r="A131" s="0" t="s">
        <v>203</v>
      </c>
      <c r="B131" s="0" t="n">
        <v>2</v>
      </c>
      <c r="C131" s="0" t="s">
        <v>216</v>
      </c>
    </row>
    <row r="132" customFormat="false" ht="14.25" hidden="false" customHeight="false" outlineLevel="0" collapsed="false">
      <c r="A132" s="0" t="s">
        <v>203</v>
      </c>
      <c r="B132" s="0" t="n">
        <v>3</v>
      </c>
      <c r="C132" s="0" t="s">
        <v>208</v>
      </c>
    </row>
    <row r="133" customFormat="false" ht="14.25" hidden="false" customHeight="false" outlineLevel="0" collapsed="false">
      <c r="A133" s="0" t="s">
        <v>203</v>
      </c>
      <c r="B133" s="0" t="n">
        <v>4</v>
      </c>
      <c r="C133" s="0" t="s">
        <v>209</v>
      </c>
    </row>
    <row r="134" customFormat="false" ht="14.25" hidden="false" customHeight="false" outlineLevel="0" collapsed="false">
      <c r="A134" s="0" t="s">
        <v>203</v>
      </c>
      <c r="B134" s="0" t="n">
        <v>5</v>
      </c>
      <c r="C134" s="0" t="s">
        <v>206</v>
      </c>
    </row>
    <row r="135" customFormat="false" ht="14.25" hidden="false" customHeight="false" outlineLevel="0" collapsed="false">
      <c r="A135" s="0" t="s">
        <v>203</v>
      </c>
      <c r="B135" s="0" t="n">
        <v>6</v>
      </c>
      <c r="C135" s="0" t="s">
        <v>212</v>
      </c>
    </row>
    <row r="136" customFormat="false" ht="14.25" hidden="false" customHeight="false" outlineLevel="0" collapsed="false">
      <c r="A136" s="0" t="s">
        <v>203</v>
      </c>
      <c r="B136" s="0" t="n">
        <v>7</v>
      </c>
      <c r="C136" s="0" t="s">
        <v>217</v>
      </c>
    </row>
    <row r="137" customFormat="false" ht="14.25" hidden="false" customHeight="false" outlineLevel="0" collapsed="false">
      <c r="A137" s="0" t="s">
        <v>203</v>
      </c>
      <c r="B137" s="0" t="n">
        <v>8</v>
      </c>
      <c r="C137" s="0" t="s">
        <v>222</v>
      </c>
    </row>
    <row r="138" customFormat="false" ht="14.25" hidden="false" customHeight="false" outlineLevel="0" collapsed="false">
      <c r="A138" s="0" t="s">
        <v>203</v>
      </c>
      <c r="B138" s="0" t="n">
        <v>9</v>
      </c>
      <c r="C138" s="0" t="s">
        <v>211</v>
      </c>
    </row>
    <row r="139" customFormat="false" ht="14.25" hidden="false" customHeight="false" outlineLevel="0" collapsed="false">
      <c r="A139" s="0" t="s">
        <v>203</v>
      </c>
      <c r="B139" s="0" t="n">
        <v>10</v>
      </c>
      <c r="C139" s="0" t="s">
        <v>221</v>
      </c>
    </row>
    <row r="140" customFormat="false" ht="14.25" hidden="false" customHeight="false" outlineLevel="0" collapsed="false">
      <c r="A140" s="0" t="s">
        <v>203</v>
      </c>
      <c r="B140" s="0" t="n">
        <v>11</v>
      </c>
      <c r="C140" s="0" t="s">
        <v>218</v>
      </c>
    </row>
    <row r="141" customFormat="false" ht="14.25" hidden="false" customHeight="false" outlineLevel="0" collapsed="false">
      <c r="A141" s="0" t="s">
        <v>203</v>
      </c>
      <c r="B141" s="0" t="n">
        <v>12</v>
      </c>
      <c r="C141" s="0" t="s">
        <v>214</v>
      </c>
    </row>
    <row r="142" customFormat="false" ht="14.25" hidden="false" customHeight="false" outlineLevel="0" collapsed="false">
      <c r="A142" s="0" t="s">
        <v>203</v>
      </c>
      <c r="B142" s="0" t="n">
        <v>13</v>
      </c>
      <c r="C142" s="0" t="s">
        <v>219</v>
      </c>
    </row>
    <row r="143" customFormat="false" ht="14.25" hidden="false" customHeight="false" outlineLevel="0" collapsed="false">
      <c r="A143" s="0" t="s">
        <v>203</v>
      </c>
      <c r="B143" s="0" t="n">
        <v>14</v>
      </c>
      <c r="C143" s="0" t="s">
        <v>223</v>
      </c>
    </row>
    <row r="144" customFormat="false" ht="14.25" hidden="false" customHeight="false" outlineLevel="0" collapsed="false">
      <c r="A144" s="0" t="s">
        <v>203</v>
      </c>
      <c r="B144" s="0" t="n">
        <v>15</v>
      </c>
      <c r="C144" s="0" t="s">
        <v>207</v>
      </c>
    </row>
    <row r="145" customFormat="false" ht="14.25" hidden="false" customHeight="false" outlineLevel="0" collapsed="false">
      <c r="A145" s="0" t="s">
        <v>203</v>
      </c>
      <c r="B145" s="0" t="n">
        <v>16</v>
      </c>
      <c r="C145" s="0" t="s">
        <v>213</v>
      </c>
    </row>
    <row r="146" customFormat="false" ht="14.25" hidden="false" customHeight="false" outlineLevel="0" collapsed="false">
      <c r="A146" s="0" t="s">
        <v>225</v>
      </c>
      <c r="B146" s="0" t="n">
        <v>1</v>
      </c>
      <c r="C146" s="0" t="s">
        <v>247</v>
      </c>
    </row>
    <row r="147" customFormat="false" ht="14.25" hidden="false" customHeight="false" outlineLevel="0" collapsed="false">
      <c r="A147" s="0" t="s">
        <v>225</v>
      </c>
      <c r="B147" s="0" t="n">
        <v>2</v>
      </c>
      <c r="C147" s="0" t="s">
        <v>246</v>
      </c>
    </row>
    <row r="148" customFormat="false" ht="14.25" hidden="false" customHeight="false" outlineLevel="0" collapsed="false">
      <c r="A148" s="0" t="s">
        <v>225</v>
      </c>
      <c r="B148" s="0" t="n">
        <v>3</v>
      </c>
      <c r="C148" s="0" t="s">
        <v>239</v>
      </c>
    </row>
    <row r="149" customFormat="false" ht="14.25" hidden="false" customHeight="false" outlineLevel="0" collapsed="false">
      <c r="A149" s="0" t="s">
        <v>225</v>
      </c>
      <c r="B149" s="0" t="n">
        <v>4</v>
      </c>
      <c r="C149" s="0" t="s">
        <v>234</v>
      </c>
    </row>
    <row r="150" customFormat="false" ht="14.25" hidden="false" customHeight="false" outlineLevel="0" collapsed="false">
      <c r="A150" s="0" t="s">
        <v>225</v>
      </c>
      <c r="B150" s="0" t="n">
        <v>5</v>
      </c>
      <c r="C150" s="0" t="s">
        <v>238</v>
      </c>
    </row>
    <row r="151" customFormat="false" ht="14.25" hidden="false" customHeight="false" outlineLevel="0" collapsed="false">
      <c r="A151" s="0" t="s">
        <v>225</v>
      </c>
      <c r="B151" s="0" t="n">
        <v>6</v>
      </c>
      <c r="C151" s="0" t="s">
        <v>233</v>
      </c>
    </row>
    <row r="152" customFormat="false" ht="14.25" hidden="false" customHeight="false" outlineLevel="0" collapsed="false">
      <c r="A152" s="0" t="s">
        <v>225</v>
      </c>
      <c r="B152" s="0" t="n">
        <v>7</v>
      </c>
      <c r="C152" s="0" t="s">
        <v>229</v>
      </c>
    </row>
    <row r="153" customFormat="false" ht="14.25" hidden="false" customHeight="false" outlineLevel="0" collapsed="false">
      <c r="A153" s="0" t="s">
        <v>225</v>
      </c>
      <c r="B153" s="0" t="n">
        <v>8</v>
      </c>
      <c r="C153" s="0" t="s">
        <v>231</v>
      </c>
    </row>
    <row r="154" customFormat="false" ht="14.25" hidden="false" customHeight="false" outlineLevel="0" collapsed="false">
      <c r="A154" s="0" t="s">
        <v>225</v>
      </c>
      <c r="B154" s="0" t="n">
        <v>9</v>
      </c>
      <c r="C154" s="0" t="s">
        <v>241</v>
      </c>
    </row>
    <row r="155" customFormat="false" ht="14.25" hidden="false" customHeight="false" outlineLevel="0" collapsed="false">
      <c r="A155" s="0" t="s">
        <v>225</v>
      </c>
      <c r="B155" s="0" t="n">
        <v>10</v>
      </c>
      <c r="C155" s="0" t="s">
        <v>230</v>
      </c>
    </row>
    <row r="156" customFormat="false" ht="14.25" hidden="false" customHeight="false" outlineLevel="0" collapsed="false">
      <c r="A156" s="0" t="s">
        <v>225</v>
      </c>
      <c r="B156" s="0" t="n">
        <v>11</v>
      </c>
      <c r="C156" s="0" t="s">
        <v>228</v>
      </c>
    </row>
    <row r="157" customFormat="false" ht="14.25" hidden="false" customHeight="false" outlineLevel="0" collapsed="false">
      <c r="A157" s="0" t="s">
        <v>225</v>
      </c>
      <c r="B157" s="0" t="n">
        <v>12</v>
      </c>
      <c r="C157" s="0" t="s">
        <v>245</v>
      </c>
    </row>
    <row r="158" customFormat="false" ht="14.25" hidden="false" customHeight="false" outlineLevel="0" collapsed="false">
      <c r="A158" s="0" t="s">
        <v>225</v>
      </c>
      <c r="B158" s="0" t="n">
        <v>13</v>
      </c>
      <c r="C158" s="0" t="s">
        <v>236</v>
      </c>
    </row>
    <row r="159" customFormat="false" ht="14.25" hidden="false" customHeight="false" outlineLevel="0" collapsed="false">
      <c r="A159" s="0" t="s">
        <v>225</v>
      </c>
      <c r="B159" s="0" t="n">
        <v>14</v>
      </c>
      <c r="C159" s="0" t="s">
        <v>244</v>
      </c>
    </row>
    <row r="160" customFormat="false" ht="14.25" hidden="false" customHeight="false" outlineLevel="0" collapsed="false">
      <c r="A160" s="0" t="s">
        <v>225</v>
      </c>
      <c r="B160" s="0" t="n">
        <v>15</v>
      </c>
      <c r="C160" s="0" t="s">
        <v>235</v>
      </c>
    </row>
    <row r="161" customFormat="false" ht="14.25" hidden="false" customHeight="false" outlineLevel="0" collapsed="false">
      <c r="A161" s="0" t="s">
        <v>225</v>
      </c>
      <c r="B161" s="0" t="n">
        <v>16</v>
      </c>
      <c r="C161" s="0" t="s">
        <v>240</v>
      </c>
    </row>
    <row r="162" customFormat="false" ht="14.25" hidden="false" customHeight="false" outlineLevel="0" collapsed="false">
      <c r="A162" s="0" t="s">
        <v>248</v>
      </c>
      <c r="B162" s="0" t="n">
        <v>1</v>
      </c>
      <c r="C162" s="0" t="s">
        <v>263</v>
      </c>
    </row>
    <row r="163" customFormat="false" ht="14.25" hidden="false" customHeight="false" outlineLevel="0" collapsed="false">
      <c r="A163" s="0" t="s">
        <v>248</v>
      </c>
      <c r="B163" s="0" t="n">
        <v>2</v>
      </c>
      <c r="C163" s="0" t="s">
        <v>252</v>
      </c>
    </row>
    <row r="164" customFormat="false" ht="14.25" hidden="false" customHeight="false" outlineLevel="0" collapsed="false">
      <c r="A164" s="0" t="s">
        <v>248</v>
      </c>
      <c r="B164" s="0" t="n">
        <v>3</v>
      </c>
      <c r="C164" s="0" t="s">
        <v>266</v>
      </c>
    </row>
    <row r="165" customFormat="false" ht="14.25" hidden="false" customHeight="false" outlineLevel="0" collapsed="false">
      <c r="A165" s="0" t="s">
        <v>248</v>
      </c>
      <c r="B165" s="0" t="n">
        <v>4</v>
      </c>
      <c r="C165" s="0" t="s">
        <v>262</v>
      </c>
    </row>
    <row r="166" customFormat="false" ht="14.25" hidden="false" customHeight="false" outlineLevel="0" collapsed="false">
      <c r="A166" s="0" t="s">
        <v>248</v>
      </c>
      <c r="B166" s="0" t="n">
        <v>5</v>
      </c>
      <c r="C166" s="0" t="s">
        <v>251</v>
      </c>
    </row>
    <row r="167" customFormat="false" ht="14.25" hidden="false" customHeight="false" outlineLevel="0" collapsed="false">
      <c r="A167" s="0" t="s">
        <v>248</v>
      </c>
      <c r="B167" s="0" t="n">
        <v>6</v>
      </c>
      <c r="C167" s="0" t="s">
        <v>261</v>
      </c>
    </row>
    <row r="168" customFormat="false" ht="14.25" hidden="false" customHeight="false" outlineLevel="0" collapsed="false">
      <c r="A168" s="0" t="s">
        <v>248</v>
      </c>
      <c r="B168" s="0" t="n">
        <v>7</v>
      </c>
      <c r="C168" s="0" t="s">
        <v>258</v>
      </c>
    </row>
    <row r="169" customFormat="false" ht="14.25" hidden="false" customHeight="false" outlineLevel="0" collapsed="false">
      <c r="A169" s="0" t="s">
        <v>248</v>
      </c>
      <c r="B169" s="0" t="n">
        <v>8</v>
      </c>
      <c r="C169" s="0" t="s">
        <v>267</v>
      </c>
    </row>
    <row r="170" customFormat="false" ht="14.25" hidden="false" customHeight="false" outlineLevel="0" collapsed="false">
      <c r="A170" s="0" t="s">
        <v>248</v>
      </c>
      <c r="B170" s="0" t="n">
        <v>9</v>
      </c>
      <c r="C170" s="0" t="s">
        <v>256</v>
      </c>
    </row>
    <row r="171" customFormat="false" ht="14.25" hidden="false" customHeight="false" outlineLevel="0" collapsed="false">
      <c r="A171" s="0" t="s">
        <v>248</v>
      </c>
      <c r="B171" s="0" t="n">
        <v>10</v>
      </c>
      <c r="C171" s="0" t="s">
        <v>254</v>
      </c>
    </row>
    <row r="172" customFormat="false" ht="14.25" hidden="false" customHeight="false" outlineLevel="0" collapsed="false">
      <c r="A172" s="0" t="s">
        <v>248</v>
      </c>
      <c r="B172" s="0" t="n">
        <v>11</v>
      </c>
      <c r="C172" s="0" t="s">
        <v>257</v>
      </c>
    </row>
    <row r="173" customFormat="false" ht="14.25" hidden="false" customHeight="false" outlineLevel="0" collapsed="false">
      <c r="A173" s="0" t="s">
        <v>248</v>
      </c>
      <c r="B173" s="0" t="n">
        <v>12</v>
      </c>
      <c r="C173" s="0" t="s">
        <v>253</v>
      </c>
    </row>
    <row r="174" customFormat="false" ht="14.25" hidden="false" customHeight="false" outlineLevel="0" collapsed="false">
      <c r="A174" s="0" t="s">
        <v>248</v>
      </c>
      <c r="B174" s="0" t="n">
        <v>13</v>
      </c>
      <c r="C174" s="0" t="s">
        <v>264</v>
      </c>
    </row>
    <row r="175" customFormat="false" ht="14.25" hidden="false" customHeight="false" outlineLevel="0" collapsed="false">
      <c r="A175" s="0" t="s">
        <v>248</v>
      </c>
      <c r="B175" s="0" t="n">
        <v>14</v>
      </c>
      <c r="C175" s="0" t="s">
        <v>269</v>
      </c>
    </row>
    <row r="176" customFormat="false" ht="14.25" hidden="false" customHeight="false" outlineLevel="0" collapsed="false">
      <c r="A176" s="0" t="s">
        <v>248</v>
      </c>
      <c r="B176" s="0" t="n">
        <v>15</v>
      </c>
      <c r="C176" s="0" t="s">
        <v>268</v>
      </c>
    </row>
    <row r="177" customFormat="false" ht="14.25" hidden="false" customHeight="false" outlineLevel="0" collapsed="false">
      <c r="A177" s="0" t="s">
        <v>248</v>
      </c>
      <c r="B177" s="0" t="n">
        <v>16</v>
      </c>
      <c r="C177" s="0" t="s">
        <v>259</v>
      </c>
    </row>
    <row r="178" customFormat="false" ht="14.25" hidden="false" customHeight="false" outlineLevel="0" collapsed="false">
      <c r="A178" s="0" t="s">
        <v>271</v>
      </c>
      <c r="B178" s="0" t="n">
        <v>1</v>
      </c>
      <c r="C178" s="0" t="s">
        <v>279</v>
      </c>
    </row>
    <row r="179" customFormat="false" ht="14.25" hidden="false" customHeight="false" outlineLevel="0" collapsed="false">
      <c r="A179" s="0" t="s">
        <v>271</v>
      </c>
      <c r="B179" s="0" t="n">
        <v>2</v>
      </c>
      <c r="C179" s="0" t="s">
        <v>288</v>
      </c>
    </row>
    <row r="180" customFormat="false" ht="14.25" hidden="false" customHeight="false" outlineLevel="0" collapsed="false">
      <c r="A180" s="0" t="s">
        <v>271</v>
      </c>
      <c r="B180" s="0" t="n">
        <v>3</v>
      </c>
      <c r="C180" s="0" t="s">
        <v>289</v>
      </c>
    </row>
    <row r="181" customFormat="false" ht="14.25" hidden="false" customHeight="false" outlineLevel="0" collapsed="false">
      <c r="A181" s="0" t="s">
        <v>271</v>
      </c>
      <c r="B181" s="0" t="n">
        <v>4</v>
      </c>
      <c r="C181" s="0" t="s">
        <v>286</v>
      </c>
    </row>
    <row r="182" customFormat="false" ht="14.25" hidden="false" customHeight="false" outlineLevel="0" collapsed="false">
      <c r="A182" s="0" t="s">
        <v>271</v>
      </c>
      <c r="B182" s="0" t="n">
        <v>5</v>
      </c>
      <c r="C182" s="0" t="s">
        <v>296</v>
      </c>
    </row>
    <row r="183" customFormat="false" ht="14.25" hidden="false" customHeight="false" outlineLevel="0" collapsed="false">
      <c r="A183" s="0" t="s">
        <v>271</v>
      </c>
      <c r="B183" s="0" t="n">
        <v>6</v>
      </c>
      <c r="C183" s="0" t="s">
        <v>287</v>
      </c>
    </row>
    <row r="184" customFormat="false" ht="14.25" hidden="false" customHeight="false" outlineLevel="0" collapsed="false">
      <c r="A184" s="0" t="s">
        <v>271</v>
      </c>
      <c r="B184" s="0" t="n">
        <v>7</v>
      </c>
      <c r="C184" s="0" t="s">
        <v>276</v>
      </c>
    </row>
    <row r="185" customFormat="false" ht="14.25" hidden="false" customHeight="false" outlineLevel="0" collapsed="false">
      <c r="A185" s="0" t="s">
        <v>271</v>
      </c>
      <c r="B185" s="0" t="n">
        <v>8</v>
      </c>
      <c r="C185" s="0" t="s">
        <v>281</v>
      </c>
    </row>
    <row r="186" customFormat="false" ht="14.25" hidden="false" customHeight="false" outlineLevel="0" collapsed="false">
      <c r="A186" s="0" t="s">
        <v>271</v>
      </c>
      <c r="B186" s="0" t="n">
        <v>9</v>
      </c>
      <c r="C186" s="0" t="s">
        <v>295</v>
      </c>
    </row>
    <row r="187" customFormat="false" ht="14.25" hidden="false" customHeight="false" outlineLevel="0" collapsed="false">
      <c r="A187" s="0" t="s">
        <v>271</v>
      </c>
      <c r="B187" s="0" t="n">
        <v>10</v>
      </c>
      <c r="C187" s="0" t="s">
        <v>294</v>
      </c>
    </row>
    <row r="188" customFormat="false" ht="14.25" hidden="false" customHeight="false" outlineLevel="0" collapsed="false">
      <c r="A188" s="0" t="s">
        <v>271</v>
      </c>
      <c r="B188" s="0" t="n">
        <v>11</v>
      </c>
      <c r="C188" s="0" t="s">
        <v>280</v>
      </c>
    </row>
    <row r="189" customFormat="false" ht="14.25" hidden="false" customHeight="false" outlineLevel="0" collapsed="false">
      <c r="A189" s="0" t="s">
        <v>271</v>
      </c>
      <c r="B189" s="0" t="n">
        <v>12</v>
      </c>
      <c r="C189" s="0" t="s">
        <v>282</v>
      </c>
    </row>
    <row r="190" customFormat="false" ht="14.25" hidden="false" customHeight="false" outlineLevel="0" collapsed="false">
      <c r="A190" s="0" t="s">
        <v>271</v>
      </c>
      <c r="B190" s="0" t="n">
        <v>13</v>
      </c>
      <c r="C190" s="0" t="s">
        <v>277</v>
      </c>
    </row>
    <row r="191" customFormat="false" ht="14.25" hidden="false" customHeight="false" outlineLevel="0" collapsed="false">
      <c r="A191" s="0" t="s">
        <v>271</v>
      </c>
      <c r="B191" s="0" t="n">
        <v>14</v>
      </c>
      <c r="C191" s="0" t="s">
        <v>293</v>
      </c>
    </row>
    <row r="192" customFormat="false" ht="14.25" hidden="false" customHeight="false" outlineLevel="0" collapsed="false">
      <c r="A192" s="0" t="s">
        <v>271</v>
      </c>
      <c r="B192" s="0" t="n">
        <v>15</v>
      </c>
      <c r="C192" s="0" t="s">
        <v>275</v>
      </c>
    </row>
    <row r="193" customFormat="false" ht="14.25" hidden="false" customHeight="false" outlineLevel="0" collapsed="false">
      <c r="A193" s="0" t="s">
        <v>271</v>
      </c>
      <c r="B193" s="0" t="n">
        <v>16</v>
      </c>
      <c r="C193" s="0" t="s">
        <v>274</v>
      </c>
    </row>
    <row r="194" customFormat="false" ht="14.25" hidden="false" customHeight="false" outlineLevel="0" collapsed="false">
      <c r="A194" s="0" t="s">
        <v>298</v>
      </c>
      <c r="B194" s="0" t="n">
        <v>1</v>
      </c>
      <c r="C194" s="0" t="s">
        <v>303</v>
      </c>
    </row>
    <row r="195" customFormat="false" ht="14.25" hidden="false" customHeight="false" outlineLevel="0" collapsed="false">
      <c r="A195" s="0" t="s">
        <v>298</v>
      </c>
      <c r="B195" s="0" t="n">
        <v>2</v>
      </c>
      <c r="C195" s="0" t="s">
        <v>309</v>
      </c>
    </row>
    <row r="196" customFormat="false" ht="14.25" hidden="false" customHeight="false" outlineLevel="0" collapsed="false">
      <c r="A196" s="0" t="s">
        <v>298</v>
      </c>
      <c r="B196" s="0" t="n">
        <v>3</v>
      </c>
      <c r="C196" s="0" t="s">
        <v>304</v>
      </c>
    </row>
    <row r="197" customFormat="false" ht="14.25" hidden="false" customHeight="false" outlineLevel="0" collapsed="false">
      <c r="A197" s="0" t="s">
        <v>298</v>
      </c>
      <c r="B197" s="0" t="n">
        <v>4</v>
      </c>
      <c r="C197" s="0" t="s">
        <v>320</v>
      </c>
    </row>
    <row r="198" customFormat="false" ht="14.25" hidden="false" customHeight="false" outlineLevel="0" collapsed="false">
      <c r="A198" s="0" t="s">
        <v>298</v>
      </c>
      <c r="B198" s="0" t="n">
        <v>5</v>
      </c>
      <c r="C198" s="0" t="s">
        <v>308</v>
      </c>
    </row>
    <row r="199" customFormat="false" ht="14.25" hidden="false" customHeight="false" outlineLevel="0" collapsed="false">
      <c r="A199" s="0" t="s">
        <v>298</v>
      </c>
      <c r="B199" s="0" t="n">
        <v>6</v>
      </c>
      <c r="C199" s="0" t="s">
        <v>313</v>
      </c>
    </row>
    <row r="200" customFormat="false" ht="14.25" hidden="false" customHeight="false" outlineLevel="0" collapsed="false">
      <c r="A200" s="0" t="s">
        <v>298</v>
      </c>
      <c r="B200" s="0" t="n">
        <v>7</v>
      </c>
      <c r="C200" s="0" t="s">
        <v>301</v>
      </c>
    </row>
    <row r="201" customFormat="false" ht="14.25" hidden="false" customHeight="false" outlineLevel="0" collapsed="false">
      <c r="A201" s="0" t="s">
        <v>298</v>
      </c>
      <c r="B201" s="0" t="n">
        <v>8</v>
      </c>
      <c r="C201" s="0" t="s">
        <v>314</v>
      </c>
    </row>
    <row r="202" customFormat="false" ht="14.25" hidden="false" customHeight="false" outlineLevel="0" collapsed="false">
      <c r="A202" s="0" t="s">
        <v>298</v>
      </c>
      <c r="B202" s="0" t="n">
        <v>9</v>
      </c>
      <c r="C202" s="0" t="s">
        <v>319</v>
      </c>
    </row>
    <row r="203" customFormat="false" ht="14.25" hidden="false" customHeight="false" outlineLevel="0" collapsed="false">
      <c r="A203" s="0" t="s">
        <v>298</v>
      </c>
      <c r="B203" s="0" t="n">
        <v>10</v>
      </c>
      <c r="C203" s="0" t="s">
        <v>312</v>
      </c>
    </row>
    <row r="204" customFormat="false" ht="14.25" hidden="false" customHeight="false" outlineLevel="0" collapsed="false">
      <c r="A204" s="0" t="s">
        <v>298</v>
      </c>
      <c r="B204" s="0" t="n">
        <v>11</v>
      </c>
      <c r="C204" s="0" t="s">
        <v>318</v>
      </c>
    </row>
    <row r="205" customFormat="false" ht="14.25" hidden="false" customHeight="false" outlineLevel="0" collapsed="false">
      <c r="A205" s="0" t="s">
        <v>298</v>
      </c>
      <c r="B205" s="0" t="n">
        <v>12</v>
      </c>
      <c r="C205" s="0" t="s">
        <v>306</v>
      </c>
    </row>
    <row r="206" customFormat="false" ht="14.25" hidden="false" customHeight="false" outlineLevel="0" collapsed="false">
      <c r="A206" s="0" t="s">
        <v>298</v>
      </c>
      <c r="B206" s="0" t="n">
        <v>13</v>
      </c>
      <c r="C206" s="0" t="s">
        <v>311</v>
      </c>
    </row>
    <row r="207" customFormat="false" ht="14.25" hidden="false" customHeight="false" outlineLevel="0" collapsed="false">
      <c r="A207" s="0" t="s">
        <v>298</v>
      </c>
      <c r="B207" s="0" t="n">
        <v>14</v>
      </c>
      <c r="C207" s="0" t="s">
        <v>317</v>
      </c>
    </row>
    <row r="208" customFormat="false" ht="14.25" hidden="false" customHeight="false" outlineLevel="0" collapsed="false">
      <c r="A208" s="0" t="s">
        <v>298</v>
      </c>
      <c r="B208" s="0" t="n">
        <v>15</v>
      </c>
      <c r="C208" s="0" t="s">
        <v>307</v>
      </c>
    </row>
    <row r="209" customFormat="false" ht="14.25" hidden="false" customHeight="false" outlineLevel="0" collapsed="false">
      <c r="A209" s="0" t="s">
        <v>298</v>
      </c>
      <c r="B209" s="0" t="n">
        <v>16</v>
      </c>
      <c r="C209" s="0" t="s">
        <v>302</v>
      </c>
    </row>
    <row r="210" customFormat="false" ht="14.25" hidden="false" customHeight="false" outlineLevel="0" collapsed="false">
      <c r="A210" s="0" t="s">
        <v>321</v>
      </c>
      <c r="B210" s="0" t="n">
        <v>1</v>
      </c>
      <c r="C210" s="0" t="s">
        <v>335</v>
      </c>
    </row>
    <row r="211" customFormat="false" ht="14.25" hidden="false" customHeight="false" outlineLevel="0" collapsed="false">
      <c r="A211" s="0" t="s">
        <v>321</v>
      </c>
      <c r="B211" s="0" t="n">
        <v>2</v>
      </c>
      <c r="C211" s="0" t="s">
        <v>325</v>
      </c>
    </row>
    <row r="212" customFormat="false" ht="14.25" hidden="false" customHeight="false" outlineLevel="0" collapsed="false">
      <c r="A212" s="0" t="s">
        <v>321</v>
      </c>
      <c r="B212" s="0" t="n">
        <v>3</v>
      </c>
      <c r="C212" s="0" t="s">
        <v>326</v>
      </c>
    </row>
    <row r="213" customFormat="false" ht="14.25" hidden="false" customHeight="false" outlineLevel="0" collapsed="false">
      <c r="A213" s="0" t="s">
        <v>321</v>
      </c>
      <c r="B213" s="0" t="n">
        <v>4</v>
      </c>
      <c r="C213" s="0" t="s">
        <v>330</v>
      </c>
    </row>
    <row r="214" customFormat="false" ht="14.25" hidden="false" customHeight="false" outlineLevel="0" collapsed="false">
      <c r="A214" s="0" t="s">
        <v>321</v>
      </c>
      <c r="B214" s="0" t="n">
        <v>5</v>
      </c>
      <c r="C214" s="0" t="s">
        <v>341</v>
      </c>
    </row>
    <row r="215" customFormat="false" ht="14.25" hidden="false" customHeight="false" outlineLevel="0" collapsed="false">
      <c r="A215" s="0" t="s">
        <v>321</v>
      </c>
      <c r="B215" s="0" t="n">
        <v>6</v>
      </c>
      <c r="C215" s="0" t="s">
        <v>342</v>
      </c>
    </row>
    <row r="216" customFormat="false" ht="14.25" hidden="false" customHeight="false" outlineLevel="0" collapsed="false">
      <c r="A216" s="0" t="s">
        <v>321</v>
      </c>
      <c r="B216" s="0" t="n">
        <v>7</v>
      </c>
      <c r="C216" s="0" t="s">
        <v>343</v>
      </c>
    </row>
    <row r="217" customFormat="false" ht="14.25" hidden="false" customHeight="false" outlineLevel="0" collapsed="false">
      <c r="A217" s="0" t="s">
        <v>321</v>
      </c>
      <c r="B217" s="0" t="n">
        <v>8</v>
      </c>
      <c r="C217" s="0" t="s">
        <v>331</v>
      </c>
    </row>
    <row r="218" customFormat="false" ht="14.25" hidden="false" customHeight="false" outlineLevel="0" collapsed="false">
      <c r="A218" s="0" t="s">
        <v>321</v>
      </c>
      <c r="B218" s="0" t="n">
        <v>9</v>
      </c>
      <c r="C218" s="0" t="s">
        <v>276</v>
      </c>
    </row>
    <row r="219" customFormat="false" ht="14.25" hidden="false" customHeight="false" outlineLevel="0" collapsed="false">
      <c r="A219" s="0" t="s">
        <v>321</v>
      </c>
      <c r="B219" s="0" t="n">
        <v>10</v>
      </c>
      <c r="C219" s="0" t="s">
        <v>336</v>
      </c>
    </row>
    <row r="220" customFormat="false" ht="14.25" hidden="false" customHeight="false" outlineLevel="0" collapsed="false">
      <c r="A220" s="0" t="s">
        <v>321</v>
      </c>
      <c r="B220" s="0" t="n">
        <v>11</v>
      </c>
      <c r="C220" s="0" t="s">
        <v>324</v>
      </c>
    </row>
    <row r="221" customFormat="false" ht="14.25" hidden="false" customHeight="false" outlineLevel="0" collapsed="false">
      <c r="A221" s="0" t="s">
        <v>321</v>
      </c>
      <c r="B221" s="0" t="n">
        <v>12</v>
      </c>
      <c r="C221" s="0" t="s">
        <v>327</v>
      </c>
    </row>
    <row r="222" customFormat="false" ht="14.25" hidden="false" customHeight="false" outlineLevel="0" collapsed="false">
      <c r="A222" s="0" t="s">
        <v>321</v>
      </c>
      <c r="B222" s="0" t="n">
        <v>13</v>
      </c>
      <c r="C222" s="0" t="s">
        <v>332</v>
      </c>
    </row>
    <row r="223" customFormat="false" ht="14.25" hidden="false" customHeight="false" outlineLevel="0" collapsed="false">
      <c r="A223" s="0" t="s">
        <v>321</v>
      </c>
      <c r="B223" s="0" t="n">
        <v>14</v>
      </c>
      <c r="C223" s="0" t="s">
        <v>337</v>
      </c>
    </row>
    <row r="224" customFormat="false" ht="14.25" hidden="false" customHeight="false" outlineLevel="0" collapsed="false">
      <c r="A224" s="0" t="s">
        <v>321</v>
      </c>
      <c r="B224" s="0" t="n">
        <v>15</v>
      </c>
      <c r="C224" s="0" t="s">
        <v>334</v>
      </c>
    </row>
    <row r="225" customFormat="false" ht="14.25" hidden="false" customHeight="false" outlineLevel="0" collapsed="false">
      <c r="A225" s="0" t="s">
        <v>321</v>
      </c>
      <c r="B225" s="0" t="n">
        <v>16</v>
      </c>
      <c r="C225" s="0" t="s">
        <v>329</v>
      </c>
    </row>
    <row r="226" customFormat="false" ht="14.25" hidden="false" customHeight="false" outlineLevel="0" collapsed="false">
      <c r="A226" s="0" t="s">
        <v>345</v>
      </c>
      <c r="B226" s="0" t="n">
        <v>1</v>
      </c>
      <c r="C226" s="0" t="s">
        <v>359</v>
      </c>
    </row>
    <row r="227" customFormat="false" ht="14.25" hidden="false" customHeight="false" outlineLevel="0" collapsed="false">
      <c r="A227" s="0" t="s">
        <v>345</v>
      </c>
      <c r="B227" s="0" t="n">
        <v>2</v>
      </c>
      <c r="C227" s="0" t="s">
        <v>356</v>
      </c>
    </row>
    <row r="228" customFormat="false" ht="14.25" hidden="false" customHeight="false" outlineLevel="0" collapsed="false">
      <c r="A228" s="0" t="s">
        <v>345</v>
      </c>
      <c r="B228" s="0" t="n">
        <v>3</v>
      </c>
      <c r="C228" s="0" t="s">
        <v>355</v>
      </c>
    </row>
    <row r="229" customFormat="false" ht="14.25" hidden="false" customHeight="false" outlineLevel="0" collapsed="false">
      <c r="A229" s="0" t="s">
        <v>345</v>
      </c>
      <c r="B229" s="0" t="n">
        <v>4</v>
      </c>
      <c r="C229" s="0" t="s">
        <v>353</v>
      </c>
    </row>
    <row r="230" customFormat="false" ht="14.25" hidden="false" customHeight="false" outlineLevel="0" collapsed="false">
      <c r="A230" s="0" t="s">
        <v>345</v>
      </c>
      <c r="B230" s="0" t="n">
        <v>5</v>
      </c>
      <c r="C230" s="0" t="s">
        <v>354</v>
      </c>
    </row>
    <row r="231" customFormat="false" ht="14.25" hidden="false" customHeight="false" outlineLevel="0" collapsed="false">
      <c r="A231" s="0" t="s">
        <v>345</v>
      </c>
      <c r="B231" s="0" t="n">
        <v>6</v>
      </c>
      <c r="C231" s="0" t="s">
        <v>368</v>
      </c>
    </row>
    <row r="232" customFormat="false" ht="14.25" hidden="false" customHeight="false" outlineLevel="0" collapsed="false">
      <c r="A232" s="0" t="s">
        <v>345</v>
      </c>
      <c r="B232" s="0" t="n">
        <v>7</v>
      </c>
      <c r="C232" s="0" t="s">
        <v>358</v>
      </c>
    </row>
    <row r="233" customFormat="false" ht="14.25" hidden="false" customHeight="false" outlineLevel="0" collapsed="false">
      <c r="A233" s="0" t="s">
        <v>345</v>
      </c>
      <c r="B233" s="0" t="n">
        <v>8</v>
      </c>
      <c r="C233" s="0" t="s">
        <v>351</v>
      </c>
    </row>
    <row r="234" customFormat="false" ht="14.25" hidden="false" customHeight="false" outlineLevel="0" collapsed="false">
      <c r="A234" s="0" t="s">
        <v>345</v>
      </c>
      <c r="B234" s="0" t="n">
        <v>9</v>
      </c>
      <c r="C234" s="0" t="s">
        <v>360</v>
      </c>
    </row>
    <row r="235" customFormat="false" ht="14.25" hidden="false" customHeight="false" outlineLevel="0" collapsed="false">
      <c r="A235" s="0" t="s">
        <v>345</v>
      </c>
      <c r="B235" s="0" t="n">
        <v>10</v>
      </c>
      <c r="C235" s="0" t="s">
        <v>367</v>
      </c>
    </row>
    <row r="236" customFormat="false" ht="14.25" hidden="false" customHeight="false" outlineLevel="0" collapsed="false">
      <c r="A236" s="0" t="s">
        <v>345</v>
      </c>
      <c r="B236" s="0" t="n">
        <v>11</v>
      </c>
      <c r="C236" s="0" t="s">
        <v>365</v>
      </c>
    </row>
    <row r="237" customFormat="false" ht="14.25" hidden="false" customHeight="false" outlineLevel="0" collapsed="false">
      <c r="A237" s="0" t="s">
        <v>345</v>
      </c>
      <c r="B237" s="0" t="n">
        <v>12</v>
      </c>
      <c r="C237" s="0" t="s">
        <v>366</v>
      </c>
    </row>
    <row r="238" customFormat="false" ht="14.25" hidden="false" customHeight="false" outlineLevel="0" collapsed="false">
      <c r="A238" s="0" t="s">
        <v>345</v>
      </c>
      <c r="B238" s="0" t="n">
        <v>13</v>
      </c>
      <c r="C238" s="0" t="s">
        <v>348</v>
      </c>
    </row>
    <row r="239" customFormat="false" ht="14.25" hidden="false" customHeight="false" outlineLevel="0" collapsed="false">
      <c r="A239" s="0" t="s">
        <v>345</v>
      </c>
      <c r="B239" s="0" t="n">
        <v>14</v>
      </c>
      <c r="C239" s="0" t="s">
        <v>349</v>
      </c>
    </row>
    <row r="240" customFormat="false" ht="14.25" hidden="false" customHeight="false" outlineLevel="0" collapsed="false">
      <c r="A240" s="0" t="s">
        <v>345</v>
      </c>
      <c r="B240" s="0" t="n">
        <v>15</v>
      </c>
      <c r="C240" s="0" t="s">
        <v>350</v>
      </c>
    </row>
    <row r="241" customFormat="false" ht="14.25" hidden="false" customHeight="false" outlineLevel="0" collapsed="false">
      <c r="A241" s="0" t="s">
        <v>345</v>
      </c>
      <c r="B241" s="0" t="n">
        <v>16</v>
      </c>
      <c r="C241" s="0" t="s">
        <v>361</v>
      </c>
    </row>
    <row r="242" customFormat="false" ht="14.25" hidden="false" customHeight="false" outlineLevel="0" collapsed="false">
      <c r="A242" s="0" t="s">
        <v>370</v>
      </c>
      <c r="B242" s="0" t="n">
        <v>1</v>
      </c>
      <c r="C242" s="0" t="s">
        <v>393</v>
      </c>
    </row>
    <row r="243" customFormat="false" ht="14.25" hidden="false" customHeight="false" outlineLevel="0" collapsed="false">
      <c r="A243" s="0" t="s">
        <v>370</v>
      </c>
      <c r="B243" s="0" t="n">
        <v>2</v>
      </c>
      <c r="C243" s="0" t="s">
        <v>382</v>
      </c>
    </row>
    <row r="244" customFormat="false" ht="14.25" hidden="false" customHeight="false" outlineLevel="0" collapsed="false">
      <c r="A244" s="0" t="s">
        <v>370</v>
      </c>
      <c r="B244" s="0" t="n">
        <v>3</v>
      </c>
      <c r="C244" s="0" t="s">
        <v>381</v>
      </c>
    </row>
    <row r="245" customFormat="false" ht="14.25" hidden="false" customHeight="false" outlineLevel="0" collapsed="false">
      <c r="A245" s="0" t="s">
        <v>370</v>
      </c>
      <c r="B245" s="0" t="n">
        <v>4</v>
      </c>
      <c r="C245" s="0" t="s">
        <v>387</v>
      </c>
    </row>
    <row r="246" customFormat="false" ht="14.25" hidden="false" customHeight="false" outlineLevel="0" collapsed="false">
      <c r="A246" s="0" t="s">
        <v>370</v>
      </c>
      <c r="B246" s="0" t="n">
        <v>5</v>
      </c>
      <c r="C246" s="0" t="s">
        <v>376</v>
      </c>
    </row>
    <row r="247" customFormat="false" ht="14.25" hidden="false" customHeight="false" outlineLevel="0" collapsed="false">
      <c r="A247" s="0" t="s">
        <v>370</v>
      </c>
      <c r="B247" s="0" t="n">
        <v>6</v>
      </c>
      <c r="C247" s="0" t="s">
        <v>380</v>
      </c>
    </row>
    <row r="248" customFormat="false" ht="14.25" hidden="false" customHeight="false" outlineLevel="0" collapsed="false">
      <c r="A248" s="0" t="s">
        <v>370</v>
      </c>
      <c r="B248" s="0" t="n">
        <v>7</v>
      </c>
      <c r="C248" s="0" t="s">
        <v>385</v>
      </c>
    </row>
    <row r="249" customFormat="false" ht="14.25" hidden="false" customHeight="false" outlineLevel="0" collapsed="false">
      <c r="A249" s="0" t="s">
        <v>370</v>
      </c>
      <c r="B249" s="0" t="n">
        <v>8</v>
      </c>
      <c r="C249" s="0" t="s">
        <v>375</v>
      </c>
    </row>
    <row r="250" customFormat="false" ht="14.25" hidden="false" customHeight="false" outlineLevel="0" collapsed="false">
      <c r="A250" s="0" t="s">
        <v>370</v>
      </c>
      <c r="B250" s="0" t="n">
        <v>9</v>
      </c>
      <c r="C250" s="0" t="s">
        <v>374</v>
      </c>
    </row>
    <row r="251" customFormat="false" ht="14.25" hidden="false" customHeight="false" outlineLevel="0" collapsed="false">
      <c r="A251" s="0" t="s">
        <v>370</v>
      </c>
      <c r="B251" s="0" t="n">
        <v>10</v>
      </c>
      <c r="C251" s="0" t="s">
        <v>379</v>
      </c>
    </row>
    <row r="252" customFormat="false" ht="14.25" hidden="false" customHeight="false" outlineLevel="0" collapsed="false">
      <c r="A252" s="0" t="s">
        <v>370</v>
      </c>
      <c r="B252" s="0" t="n">
        <v>11</v>
      </c>
      <c r="C252" s="0" t="s">
        <v>373</v>
      </c>
    </row>
    <row r="253" customFormat="false" ht="14.25" hidden="false" customHeight="false" outlineLevel="0" collapsed="false">
      <c r="A253" s="0" t="s">
        <v>370</v>
      </c>
      <c r="B253" s="0" t="n">
        <v>12</v>
      </c>
      <c r="C253" s="0" t="s">
        <v>391</v>
      </c>
    </row>
    <row r="254" customFormat="false" ht="14.25" hidden="false" customHeight="false" outlineLevel="0" collapsed="false">
      <c r="A254" s="0" t="s">
        <v>370</v>
      </c>
      <c r="B254" s="0" t="n">
        <v>13</v>
      </c>
      <c r="C254" s="0" t="s">
        <v>386</v>
      </c>
    </row>
    <row r="255" customFormat="false" ht="14.25" hidden="false" customHeight="false" outlineLevel="0" collapsed="false">
      <c r="A255" s="0" t="s">
        <v>370</v>
      </c>
      <c r="B255" s="0" t="n">
        <v>14</v>
      </c>
      <c r="C255" s="0" t="s">
        <v>384</v>
      </c>
    </row>
    <row r="256" customFormat="false" ht="14.25" hidden="false" customHeight="false" outlineLevel="0" collapsed="false">
      <c r="A256" s="0" t="s">
        <v>370</v>
      </c>
      <c r="B256" s="0" t="n">
        <v>15</v>
      </c>
      <c r="C256" s="0" t="s">
        <v>392</v>
      </c>
    </row>
    <row r="257" customFormat="false" ht="14.25" hidden="false" customHeight="false" outlineLevel="0" collapsed="false">
      <c r="A257" s="0" t="s">
        <v>370</v>
      </c>
      <c r="B257" s="0" t="n">
        <v>16</v>
      </c>
      <c r="C257" s="0" t="s">
        <v>390</v>
      </c>
    </row>
    <row r="258" customFormat="false" ht="14.25" hidden="false" customHeight="false" outlineLevel="0" collapsed="false">
      <c r="A258" s="0" t="s">
        <v>394</v>
      </c>
      <c r="B258" s="0" t="n">
        <v>1</v>
      </c>
      <c r="C258" s="0" t="s">
        <v>409</v>
      </c>
    </row>
    <row r="259" customFormat="false" ht="14.25" hidden="false" customHeight="false" outlineLevel="0" collapsed="false">
      <c r="A259" s="0" t="s">
        <v>394</v>
      </c>
      <c r="B259" s="0" t="n">
        <v>2</v>
      </c>
      <c r="C259" s="0" t="s">
        <v>405</v>
      </c>
    </row>
    <row r="260" customFormat="false" ht="14.25" hidden="false" customHeight="false" outlineLevel="0" collapsed="false">
      <c r="A260" s="0" t="s">
        <v>394</v>
      </c>
      <c r="B260" s="0" t="n">
        <v>3</v>
      </c>
      <c r="C260" s="0" t="s">
        <v>404</v>
      </c>
    </row>
    <row r="261" customFormat="false" ht="14.25" hidden="false" customHeight="false" outlineLevel="0" collapsed="false">
      <c r="A261" s="0" t="s">
        <v>394</v>
      </c>
      <c r="B261" s="0" t="n">
        <v>4</v>
      </c>
      <c r="C261" s="0" t="s">
        <v>398</v>
      </c>
    </row>
    <row r="262" customFormat="false" ht="14.25" hidden="false" customHeight="false" outlineLevel="0" collapsed="false">
      <c r="A262" s="0" t="s">
        <v>394</v>
      </c>
      <c r="B262" s="0" t="n">
        <v>5</v>
      </c>
      <c r="C262" s="0" t="s">
        <v>211</v>
      </c>
    </row>
    <row r="263" customFormat="false" ht="14.25" hidden="false" customHeight="false" outlineLevel="0" collapsed="false">
      <c r="A263" s="0" t="s">
        <v>394</v>
      </c>
      <c r="B263" s="0" t="n">
        <v>6</v>
      </c>
      <c r="C263" s="0" t="s">
        <v>400</v>
      </c>
    </row>
    <row r="264" customFormat="false" ht="14.25" hidden="false" customHeight="false" outlineLevel="0" collapsed="false">
      <c r="A264" s="0" t="s">
        <v>394</v>
      </c>
      <c r="B264" s="0" t="n">
        <v>7</v>
      </c>
      <c r="C264" s="0" t="s">
        <v>399</v>
      </c>
    </row>
    <row r="265" customFormat="false" ht="14.25" hidden="false" customHeight="false" outlineLevel="0" collapsed="false">
      <c r="A265" s="0" t="s">
        <v>394</v>
      </c>
      <c r="B265" s="0" t="n">
        <v>8</v>
      </c>
      <c r="C265" s="0" t="s">
        <v>403</v>
      </c>
    </row>
    <row r="266" customFormat="false" ht="14.25" hidden="false" customHeight="false" outlineLevel="0" collapsed="false">
      <c r="A266" s="0" t="s">
        <v>394</v>
      </c>
      <c r="B266" s="0" t="n">
        <v>9</v>
      </c>
      <c r="C266" s="0" t="s">
        <v>415</v>
      </c>
    </row>
    <row r="267" customFormat="false" ht="14.25" hidden="false" customHeight="false" outlineLevel="0" collapsed="false">
      <c r="A267" s="0" t="s">
        <v>394</v>
      </c>
      <c r="B267" s="0" t="n">
        <v>10</v>
      </c>
      <c r="C267" s="0" t="s">
        <v>402</v>
      </c>
    </row>
    <row r="268" customFormat="false" ht="14.25" hidden="false" customHeight="false" outlineLevel="0" collapsed="false">
      <c r="A268" s="0" t="s">
        <v>394</v>
      </c>
      <c r="B268" s="0" t="n">
        <v>11</v>
      </c>
      <c r="C268" s="0" t="s">
        <v>416</v>
      </c>
    </row>
    <row r="269" customFormat="false" ht="14.25" hidden="false" customHeight="false" outlineLevel="0" collapsed="false">
      <c r="A269" s="0" t="s">
        <v>394</v>
      </c>
      <c r="B269" s="0" t="n">
        <v>12</v>
      </c>
      <c r="C269" s="0" t="s">
        <v>408</v>
      </c>
    </row>
    <row r="270" customFormat="false" ht="14.25" hidden="false" customHeight="false" outlineLevel="0" collapsed="false">
      <c r="A270" s="0" t="s">
        <v>394</v>
      </c>
      <c r="B270" s="0" t="n">
        <v>13</v>
      </c>
      <c r="C270" s="0" t="s">
        <v>397</v>
      </c>
    </row>
    <row r="271" customFormat="false" ht="14.25" hidden="false" customHeight="false" outlineLevel="0" collapsed="false">
      <c r="A271" s="0" t="s">
        <v>394</v>
      </c>
      <c r="B271" s="0" t="n">
        <v>14</v>
      </c>
      <c r="C271" s="0" t="s">
        <v>414</v>
      </c>
    </row>
    <row r="272" customFormat="false" ht="14.25" hidden="false" customHeight="false" outlineLevel="0" collapsed="false">
      <c r="A272" s="0" t="s">
        <v>394</v>
      </c>
      <c r="B272" s="0" t="n">
        <v>15</v>
      </c>
      <c r="C272" s="0" t="s">
        <v>411</v>
      </c>
    </row>
    <row r="273" customFormat="false" ht="14.25" hidden="false" customHeight="false" outlineLevel="0" collapsed="false">
      <c r="A273" s="0" t="s">
        <v>394</v>
      </c>
      <c r="B273" s="0" t="n">
        <v>16</v>
      </c>
      <c r="C273" s="0" t="s">
        <v>410</v>
      </c>
    </row>
    <row r="274" customFormat="false" ht="14.25" hidden="false" customHeight="false" outlineLevel="0" collapsed="false">
      <c r="A274" s="0" t="s">
        <v>417</v>
      </c>
      <c r="B274" s="0" t="n">
        <v>1</v>
      </c>
      <c r="C274" s="0" t="s">
        <v>421</v>
      </c>
    </row>
    <row r="275" customFormat="false" ht="14.25" hidden="false" customHeight="false" outlineLevel="0" collapsed="false">
      <c r="A275" s="0" t="s">
        <v>417</v>
      </c>
      <c r="B275" s="0" t="n">
        <v>2</v>
      </c>
      <c r="C275" s="0" t="s">
        <v>429</v>
      </c>
    </row>
    <row r="276" customFormat="false" ht="14.25" hidden="false" customHeight="false" outlineLevel="0" collapsed="false">
      <c r="A276" s="0" t="s">
        <v>417</v>
      </c>
      <c r="B276" s="0" t="n">
        <v>3</v>
      </c>
      <c r="C276" s="0" t="s">
        <v>434</v>
      </c>
    </row>
    <row r="277" customFormat="false" ht="14.25" hidden="false" customHeight="false" outlineLevel="0" collapsed="false">
      <c r="A277" s="0" t="s">
        <v>417</v>
      </c>
      <c r="B277" s="0" t="n">
        <v>4</v>
      </c>
      <c r="C277" s="0" t="s">
        <v>431</v>
      </c>
    </row>
    <row r="278" customFormat="false" ht="14.25" hidden="false" customHeight="false" outlineLevel="0" collapsed="false">
      <c r="A278" s="0" t="s">
        <v>417</v>
      </c>
      <c r="B278" s="0" t="n">
        <v>5</v>
      </c>
      <c r="C278" s="0" t="s">
        <v>437</v>
      </c>
    </row>
    <row r="279" customFormat="false" ht="14.25" hidden="false" customHeight="false" outlineLevel="0" collapsed="false">
      <c r="A279" s="0" t="s">
        <v>417</v>
      </c>
      <c r="B279" s="0" t="n">
        <v>6</v>
      </c>
      <c r="C279" s="0" t="s">
        <v>432</v>
      </c>
    </row>
    <row r="280" customFormat="false" ht="14.25" hidden="false" customHeight="false" outlineLevel="0" collapsed="false">
      <c r="A280" s="0" t="s">
        <v>417</v>
      </c>
      <c r="B280" s="0" t="n">
        <v>7</v>
      </c>
      <c r="C280" s="0" t="s">
        <v>426</v>
      </c>
    </row>
    <row r="281" customFormat="false" ht="14.25" hidden="false" customHeight="false" outlineLevel="0" collapsed="false">
      <c r="A281" s="0" t="s">
        <v>417</v>
      </c>
      <c r="B281" s="0" t="n">
        <v>8</v>
      </c>
      <c r="C281" s="0" t="s">
        <v>440</v>
      </c>
    </row>
    <row r="282" customFormat="false" ht="14.25" hidden="false" customHeight="false" outlineLevel="0" collapsed="false">
      <c r="A282" s="0" t="s">
        <v>417</v>
      </c>
      <c r="B282" s="0" t="n">
        <v>9</v>
      </c>
      <c r="C282" s="0" t="s">
        <v>422</v>
      </c>
    </row>
    <row r="283" customFormat="false" ht="14.25" hidden="false" customHeight="false" outlineLevel="0" collapsed="false">
      <c r="A283" s="0" t="s">
        <v>417</v>
      </c>
      <c r="B283" s="0" t="n">
        <v>10</v>
      </c>
      <c r="C283" s="0" t="s">
        <v>427</v>
      </c>
    </row>
    <row r="284" customFormat="false" ht="14.25" hidden="false" customHeight="false" outlineLevel="0" collapsed="false">
      <c r="A284" s="0" t="s">
        <v>417</v>
      </c>
      <c r="B284" s="0" t="n">
        <v>11</v>
      </c>
      <c r="C284" s="0" t="s">
        <v>423</v>
      </c>
    </row>
    <row r="285" customFormat="false" ht="14.25" hidden="false" customHeight="false" outlineLevel="0" collapsed="false">
      <c r="A285" s="0" t="s">
        <v>417</v>
      </c>
      <c r="B285" s="0" t="n">
        <v>12</v>
      </c>
      <c r="C285" s="0" t="s">
        <v>420</v>
      </c>
    </row>
    <row r="286" customFormat="false" ht="14.25" hidden="false" customHeight="false" outlineLevel="0" collapsed="false">
      <c r="A286" s="0" t="s">
        <v>417</v>
      </c>
      <c r="B286" s="0" t="n">
        <v>13</v>
      </c>
      <c r="C286" s="0" t="s">
        <v>439</v>
      </c>
    </row>
    <row r="287" customFormat="false" ht="14.25" hidden="false" customHeight="false" outlineLevel="0" collapsed="false">
      <c r="A287" s="0" t="s">
        <v>417</v>
      </c>
      <c r="B287" s="0" t="n">
        <v>14</v>
      </c>
      <c r="C287" s="0" t="s">
        <v>428</v>
      </c>
    </row>
    <row r="288" customFormat="false" ht="14.25" hidden="false" customHeight="false" outlineLevel="0" collapsed="false">
      <c r="A288" s="0" t="s">
        <v>417</v>
      </c>
      <c r="B288" s="0" t="n">
        <v>15</v>
      </c>
      <c r="C288" s="0" t="s">
        <v>433</v>
      </c>
    </row>
    <row r="289" customFormat="false" ht="14.25" hidden="false" customHeight="false" outlineLevel="0" collapsed="false">
      <c r="A289" s="0" t="s">
        <v>417</v>
      </c>
      <c r="B289" s="0" t="n">
        <v>16</v>
      </c>
      <c r="C289" s="0" t="s">
        <v>438</v>
      </c>
    </row>
    <row r="290" customFormat="false" ht="14.25" hidden="false" customHeight="false" outlineLevel="0" collapsed="false">
      <c r="A290" s="0" t="s">
        <v>442</v>
      </c>
      <c r="B290" s="0" t="n">
        <v>1</v>
      </c>
      <c r="C290" s="0" t="s">
        <v>451</v>
      </c>
    </row>
    <row r="291" customFormat="false" ht="14.25" hidden="false" customHeight="false" outlineLevel="0" collapsed="false">
      <c r="A291" s="0" t="s">
        <v>442</v>
      </c>
      <c r="B291" s="0" t="n">
        <v>2</v>
      </c>
      <c r="C291" s="0" t="s">
        <v>462</v>
      </c>
    </row>
    <row r="292" customFormat="false" ht="14.25" hidden="false" customHeight="false" outlineLevel="0" collapsed="false">
      <c r="A292" s="0" t="s">
        <v>442</v>
      </c>
      <c r="B292" s="0" t="n">
        <v>3</v>
      </c>
      <c r="C292" s="0" t="s">
        <v>457</v>
      </c>
    </row>
    <row r="293" customFormat="false" ht="14.25" hidden="false" customHeight="false" outlineLevel="0" collapsed="false">
      <c r="A293" s="0" t="s">
        <v>442</v>
      </c>
      <c r="B293" s="0" t="n">
        <v>4</v>
      </c>
      <c r="C293" s="0" t="s">
        <v>458</v>
      </c>
    </row>
    <row r="294" customFormat="false" ht="14.25" hidden="false" customHeight="false" outlineLevel="0" collapsed="false">
      <c r="A294" s="0" t="s">
        <v>442</v>
      </c>
      <c r="B294" s="0" t="n">
        <v>5</v>
      </c>
      <c r="C294" s="0" t="s">
        <v>448</v>
      </c>
    </row>
    <row r="295" customFormat="false" ht="14.25" hidden="false" customHeight="false" outlineLevel="0" collapsed="false">
      <c r="A295" s="0" t="s">
        <v>442</v>
      </c>
      <c r="B295" s="0" t="n">
        <v>6</v>
      </c>
      <c r="C295" s="0" t="s">
        <v>454</v>
      </c>
    </row>
    <row r="296" customFormat="false" ht="14.25" hidden="false" customHeight="false" outlineLevel="0" collapsed="false">
      <c r="A296" s="0" t="s">
        <v>442</v>
      </c>
      <c r="B296" s="0" t="n">
        <v>7</v>
      </c>
      <c r="C296" s="0" t="s">
        <v>465</v>
      </c>
    </row>
    <row r="297" customFormat="false" ht="14.25" hidden="false" customHeight="false" outlineLevel="0" collapsed="false">
      <c r="A297" s="0" t="s">
        <v>442</v>
      </c>
      <c r="B297" s="0" t="n">
        <v>8</v>
      </c>
      <c r="C297" s="0" t="s">
        <v>452</v>
      </c>
    </row>
    <row r="298" customFormat="false" ht="14.25" hidden="false" customHeight="false" outlineLevel="0" collapsed="false">
      <c r="A298" s="0" t="s">
        <v>442</v>
      </c>
      <c r="B298" s="0" t="n">
        <v>9</v>
      </c>
      <c r="C298" s="0" t="s">
        <v>456</v>
      </c>
    </row>
    <row r="299" customFormat="false" ht="14.25" hidden="false" customHeight="false" outlineLevel="0" collapsed="false">
      <c r="A299" s="0" t="s">
        <v>442</v>
      </c>
      <c r="B299" s="0" t="n">
        <v>10</v>
      </c>
      <c r="C299" s="0" t="s">
        <v>463</v>
      </c>
    </row>
    <row r="300" customFormat="false" ht="14.25" hidden="false" customHeight="false" outlineLevel="0" collapsed="false">
      <c r="A300" s="0" t="s">
        <v>442</v>
      </c>
      <c r="B300" s="0" t="n">
        <v>11</v>
      </c>
      <c r="C300" s="0" t="s">
        <v>447</v>
      </c>
    </row>
    <row r="301" customFormat="false" ht="14.25" hidden="false" customHeight="false" outlineLevel="0" collapsed="false">
      <c r="A301" s="0" t="s">
        <v>442</v>
      </c>
      <c r="B301" s="0" t="n">
        <v>12</v>
      </c>
      <c r="C301" s="0" t="s">
        <v>445</v>
      </c>
    </row>
    <row r="302" customFormat="false" ht="14.25" hidden="false" customHeight="false" outlineLevel="0" collapsed="false">
      <c r="A302" s="0" t="s">
        <v>442</v>
      </c>
      <c r="B302" s="0" t="n">
        <v>13</v>
      </c>
      <c r="C302" s="0" t="s">
        <v>459</v>
      </c>
    </row>
    <row r="303" customFormat="false" ht="14.25" hidden="false" customHeight="false" outlineLevel="0" collapsed="false">
      <c r="A303" s="0" t="s">
        <v>442</v>
      </c>
      <c r="B303" s="0" t="n">
        <v>14</v>
      </c>
      <c r="C303" s="0" t="s">
        <v>453</v>
      </c>
    </row>
    <row r="304" customFormat="false" ht="14.25" hidden="false" customHeight="false" outlineLevel="0" collapsed="false">
      <c r="A304" s="0" t="s">
        <v>442</v>
      </c>
      <c r="B304" s="0" t="n">
        <v>15</v>
      </c>
      <c r="C304" s="0" t="s">
        <v>464</v>
      </c>
    </row>
    <row r="305" customFormat="false" ht="14.25" hidden="false" customHeight="false" outlineLevel="0" collapsed="false">
      <c r="A305" s="0" t="s">
        <v>442</v>
      </c>
      <c r="B305" s="0" t="n">
        <v>16</v>
      </c>
      <c r="C305" s="0" t="s">
        <v>446</v>
      </c>
    </row>
    <row r="306" customFormat="false" ht="14.25" hidden="false" customHeight="false" outlineLevel="0" collapsed="false">
      <c r="A306" s="0" t="s">
        <v>467</v>
      </c>
      <c r="B306" s="0" t="n">
        <v>1</v>
      </c>
      <c r="C306" s="0" t="s">
        <v>483</v>
      </c>
    </row>
    <row r="307" customFormat="false" ht="14.25" hidden="false" customHeight="false" outlineLevel="0" collapsed="false">
      <c r="A307" s="0" t="s">
        <v>467</v>
      </c>
      <c r="B307" s="0" t="n">
        <v>2</v>
      </c>
      <c r="C307" s="0" t="s">
        <v>489</v>
      </c>
    </row>
    <row r="308" customFormat="false" ht="14.25" hidden="false" customHeight="false" outlineLevel="0" collapsed="false">
      <c r="A308" s="0" t="s">
        <v>467</v>
      </c>
      <c r="B308" s="0" t="n">
        <v>3</v>
      </c>
      <c r="C308" s="0" t="s">
        <v>490</v>
      </c>
    </row>
    <row r="309" customFormat="false" ht="14.25" hidden="false" customHeight="false" outlineLevel="0" collapsed="false">
      <c r="A309" s="0" t="s">
        <v>467</v>
      </c>
      <c r="B309" s="0" t="n">
        <v>4</v>
      </c>
      <c r="C309" s="0" t="s">
        <v>475</v>
      </c>
    </row>
    <row r="310" customFormat="false" ht="14.25" hidden="false" customHeight="false" outlineLevel="0" collapsed="false">
      <c r="A310" s="0" t="s">
        <v>467</v>
      </c>
      <c r="B310" s="0" t="n">
        <v>5</v>
      </c>
      <c r="C310" s="0" t="s">
        <v>482</v>
      </c>
    </row>
    <row r="311" customFormat="false" ht="14.25" hidden="false" customHeight="false" outlineLevel="0" collapsed="false">
      <c r="A311" s="0" t="s">
        <v>467</v>
      </c>
      <c r="B311" s="0" t="n">
        <v>6</v>
      </c>
      <c r="C311" s="0" t="s">
        <v>470</v>
      </c>
    </row>
    <row r="312" customFormat="false" ht="14.25" hidden="false" customHeight="false" outlineLevel="0" collapsed="false">
      <c r="A312" s="0" t="s">
        <v>467</v>
      </c>
      <c r="B312" s="0" t="n">
        <v>7</v>
      </c>
      <c r="C312" s="0" t="s">
        <v>485</v>
      </c>
    </row>
    <row r="313" customFormat="false" ht="14.25" hidden="false" customHeight="false" outlineLevel="0" collapsed="false">
      <c r="A313" s="0" t="s">
        <v>467</v>
      </c>
      <c r="B313" s="0" t="n">
        <v>8</v>
      </c>
      <c r="C313" s="0" t="s">
        <v>492</v>
      </c>
    </row>
    <row r="314" customFormat="false" ht="14.25" hidden="false" customHeight="false" outlineLevel="0" collapsed="false">
      <c r="A314" s="0" t="s">
        <v>467</v>
      </c>
      <c r="B314" s="0" t="n">
        <v>9</v>
      </c>
      <c r="C314" s="0" t="s">
        <v>484</v>
      </c>
    </row>
    <row r="315" customFormat="false" ht="14.25" hidden="false" customHeight="false" outlineLevel="0" collapsed="false">
      <c r="A315" s="0" t="s">
        <v>467</v>
      </c>
      <c r="B315" s="0" t="n">
        <v>10</v>
      </c>
      <c r="C315" s="0" t="s">
        <v>477</v>
      </c>
    </row>
    <row r="316" customFormat="false" ht="14.25" hidden="false" customHeight="false" outlineLevel="0" collapsed="false">
      <c r="A316" s="0" t="s">
        <v>467</v>
      </c>
      <c r="B316" s="0" t="n">
        <v>11</v>
      </c>
      <c r="C316" s="0" t="s">
        <v>491</v>
      </c>
    </row>
    <row r="317" customFormat="false" ht="14.25" hidden="false" customHeight="false" outlineLevel="0" collapsed="false">
      <c r="A317" s="0" t="s">
        <v>467</v>
      </c>
      <c r="B317" s="0" t="n">
        <v>12</v>
      </c>
      <c r="C317" s="0" t="s">
        <v>478</v>
      </c>
    </row>
    <row r="318" customFormat="false" ht="14.25" hidden="false" customHeight="false" outlineLevel="0" collapsed="false">
      <c r="A318" s="0" t="s">
        <v>467</v>
      </c>
      <c r="B318" s="0" t="n">
        <v>13</v>
      </c>
      <c r="C318" s="0" t="s">
        <v>471</v>
      </c>
    </row>
    <row r="319" customFormat="false" ht="14.25" hidden="false" customHeight="false" outlineLevel="0" collapsed="false">
      <c r="A319" s="0" t="s">
        <v>467</v>
      </c>
      <c r="B319" s="0" t="n">
        <v>14</v>
      </c>
      <c r="C319" s="0" t="s">
        <v>473</v>
      </c>
    </row>
    <row r="320" customFormat="false" ht="14.25" hidden="false" customHeight="false" outlineLevel="0" collapsed="false">
      <c r="A320" s="0" t="s">
        <v>467</v>
      </c>
      <c r="B320" s="0" t="n">
        <v>15</v>
      </c>
      <c r="C320" s="0" t="s">
        <v>476</v>
      </c>
    </row>
    <row r="321" customFormat="false" ht="14.25" hidden="false" customHeight="false" outlineLevel="0" collapsed="false">
      <c r="A321" s="0" t="s">
        <v>467</v>
      </c>
      <c r="B321" s="0" t="n">
        <v>16</v>
      </c>
      <c r="C321" s="0" t="s">
        <v>472</v>
      </c>
    </row>
    <row r="322" customFormat="false" ht="14.25" hidden="false" customHeight="false" outlineLevel="0" collapsed="false">
      <c r="A322" s="0" t="s">
        <v>493</v>
      </c>
      <c r="B322" s="0" t="n">
        <v>1</v>
      </c>
      <c r="C322" s="0" t="s">
        <v>509</v>
      </c>
    </row>
    <row r="323" customFormat="false" ht="14.25" hidden="false" customHeight="false" outlineLevel="0" collapsed="false">
      <c r="A323" s="0" t="s">
        <v>493</v>
      </c>
      <c r="B323" s="0" t="n">
        <v>2</v>
      </c>
      <c r="C323" s="0" t="s">
        <v>516</v>
      </c>
    </row>
    <row r="324" customFormat="false" ht="14.25" hidden="false" customHeight="false" outlineLevel="0" collapsed="false">
      <c r="A324" s="0" t="s">
        <v>493</v>
      </c>
      <c r="B324" s="0" t="n">
        <v>3</v>
      </c>
      <c r="C324" s="0" t="s">
        <v>511</v>
      </c>
    </row>
    <row r="325" customFormat="false" ht="14.25" hidden="false" customHeight="false" outlineLevel="0" collapsed="false">
      <c r="A325" s="0" t="s">
        <v>493</v>
      </c>
      <c r="B325" s="0" t="n">
        <v>4</v>
      </c>
      <c r="C325" s="0" t="s">
        <v>496</v>
      </c>
    </row>
    <row r="326" customFormat="false" ht="14.25" hidden="false" customHeight="false" outlineLevel="0" collapsed="false">
      <c r="A326" s="0" t="s">
        <v>493</v>
      </c>
      <c r="B326" s="0" t="n">
        <v>5</v>
      </c>
      <c r="C326" s="0" t="s">
        <v>497</v>
      </c>
    </row>
    <row r="327" customFormat="false" ht="14.25" hidden="false" customHeight="false" outlineLevel="0" collapsed="false">
      <c r="A327" s="0" t="s">
        <v>493</v>
      </c>
      <c r="B327" s="0" t="n">
        <v>6</v>
      </c>
      <c r="C327" s="0" t="s">
        <v>503</v>
      </c>
    </row>
    <row r="328" customFormat="false" ht="14.25" hidden="false" customHeight="false" outlineLevel="0" collapsed="false">
      <c r="A328" s="0" t="s">
        <v>493</v>
      </c>
      <c r="B328" s="0" t="n">
        <v>7</v>
      </c>
      <c r="C328" s="0" t="s">
        <v>508</v>
      </c>
    </row>
    <row r="329" customFormat="false" ht="14.25" hidden="false" customHeight="false" outlineLevel="0" collapsed="false">
      <c r="A329" s="0" t="s">
        <v>493</v>
      </c>
      <c r="B329" s="0" t="n">
        <v>8</v>
      </c>
      <c r="C329" s="0" t="s">
        <v>251</v>
      </c>
    </row>
    <row r="330" customFormat="false" ht="14.25" hidden="false" customHeight="false" outlineLevel="0" collapsed="false">
      <c r="A330" s="0" t="s">
        <v>493</v>
      </c>
      <c r="B330" s="0" t="n">
        <v>9</v>
      </c>
      <c r="C330" s="0" t="s">
        <v>499</v>
      </c>
    </row>
    <row r="331" customFormat="false" ht="14.25" hidden="false" customHeight="false" outlineLevel="0" collapsed="false">
      <c r="A331" s="0" t="s">
        <v>493</v>
      </c>
      <c r="B331" s="0" t="n">
        <v>10</v>
      </c>
      <c r="C331" s="0" t="s">
        <v>510</v>
      </c>
    </row>
    <row r="332" customFormat="false" ht="14.25" hidden="false" customHeight="false" outlineLevel="0" collapsed="false">
      <c r="A332" s="0" t="s">
        <v>493</v>
      </c>
      <c r="B332" s="0" t="n">
        <v>11</v>
      </c>
      <c r="C332" s="0" t="s">
        <v>505</v>
      </c>
    </row>
    <row r="333" customFormat="false" ht="14.25" hidden="false" customHeight="false" outlineLevel="0" collapsed="false">
      <c r="A333" s="0" t="s">
        <v>493</v>
      </c>
      <c r="B333" s="0" t="n">
        <v>12</v>
      </c>
      <c r="C333" s="0" t="s">
        <v>504</v>
      </c>
    </row>
    <row r="334" customFormat="false" ht="14.25" hidden="false" customHeight="false" outlineLevel="0" collapsed="false">
      <c r="A334" s="0" t="s">
        <v>493</v>
      </c>
      <c r="B334" s="0" t="n">
        <v>13</v>
      </c>
      <c r="C334" s="0" t="s">
        <v>514</v>
      </c>
    </row>
    <row r="335" customFormat="false" ht="14.25" hidden="false" customHeight="false" outlineLevel="0" collapsed="false">
      <c r="A335" s="0" t="s">
        <v>493</v>
      </c>
      <c r="B335" s="0" t="n">
        <v>14</v>
      </c>
      <c r="C335" s="0" t="s">
        <v>502</v>
      </c>
    </row>
    <row r="336" customFormat="false" ht="14.25" hidden="false" customHeight="false" outlineLevel="0" collapsed="false">
      <c r="A336" s="0" t="s">
        <v>493</v>
      </c>
      <c r="B336" s="0" t="n">
        <v>15</v>
      </c>
      <c r="C336" s="0" t="s">
        <v>498</v>
      </c>
    </row>
    <row r="337" customFormat="false" ht="14.25" hidden="false" customHeight="false" outlineLevel="0" collapsed="false">
      <c r="A337" s="0" t="s">
        <v>493</v>
      </c>
      <c r="B337" s="0" t="n">
        <v>16</v>
      </c>
      <c r="C337" s="0" t="s">
        <v>515</v>
      </c>
    </row>
    <row r="338" customFormat="false" ht="14.25" hidden="false" customHeight="false" outlineLevel="0" collapsed="false">
      <c r="A338" s="0" t="s">
        <v>518</v>
      </c>
      <c r="B338" s="0" t="n">
        <v>1</v>
      </c>
      <c r="C338" s="0" t="s">
        <v>523</v>
      </c>
    </row>
    <row r="339" customFormat="false" ht="14.25" hidden="false" customHeight="false" outlineLevel="0" collapsed="false">
      <c r="A339" s="0" t="s">
        <v>518</v>
      </c>
      <c r="B339" s="0" t="n">
        <v>2</v>
      </c>
      <c r="C339" s="0" t="s">
        <v>522</v>
      </c>
    </row>
    <row r="340" customFormat="false" ht="14.25" hidden="false" customHeight="false" outlineLevel="0" collapsed="false">
      <c r="A340" s="0" t="s">
        <v>518</v>
      </c>
      <c r="B340" s="0" t="n">
        <v>3</v>
      </c>
      <c r="C340" s="0" t="s">
        <v>527</v>
      </c>
    </row>
    <row r="341" customFormat="false" ht="14.25" hidden="false" customHeight="false" outlineLevel="0" collapsed="false">
      <c r="A341" s="0" t="s">
        <v>518</v>
      </c>
      <c r="B341" s="0" t="n">
        <v>4</v>
      </c>
      <c r="C341" s="0" t="s">
        <v>538</v>
      </c>
    </row>
    <row r="342" customFormat="false" ht="14.25" hidden="false" customHeight="false" outlineLevel="0" collapsed="false">
      <c r="A342" s="0" t="s">
        <v>518</v>
      </c>
      <c r="B342" s="0" t="n">
        <v>5</v>
      </c>
      <c r="C342" s="0" t="s">
        <v>151</v>
      </c>
    </row>
    <row r="343" customFormat="false" ht="14.25" hidden="false" customHeight="false" outlineLevel="0" collapsed="false">
      <c r="A343" s="0" t="s">
        <v>518</v>
      </c>
      <c r="B343" s="0" t="n">
        <v>6</v>
      </c>
      <c r="C343" s="0" t="s">
        <v>528</v>
      </c>
    </row>
    <row r="344" customFormat="false" ht="14.25" hidden="false" customHeight="false" outlineLevel="0" collapsed="false">
      <c r="A344" s="0" t="s">
        <v>518</v>
      </c>
      <c r="B344" s="0" t="n">
        <v>7</v>
      </c>
      <c r="C344" s="0" t="s">
        <v>539</v>
      </c>
    </row>
    <row r="345" customFormat="false" ht="14.25" hidden="false" customHeight="false" outlineLevel="0" collapsed="false">
      <c r="A345" s="0" t="s">
        <v>518</v>
      </c>
      <c r="B345" s="0" t="n">
        <v>8</v>
      </c>
      <c r="C345" s="0" t="s">
        <v>524</v>
      </c>
    </row>
    <row r="346" customFormat="false" ht="14.25" hidden="false" customHeight="false" outlineLevel="0" collapsed="false">
      <c r="A346" s="0" t="s">
        <v>518</v>
      </c>
      <c r="B346" s="0" t="n">
        <v>9</v>
      </c>
      <c r="C346" s="0" t="s">
        <v>531</v>
      </c>
    </row>
    <row r="347" customFormat="false" ht="14.25" hidden="false" customHeight="false" outlineLevel="0" collapsed="false">
      <c r="A347" s="0" t="s">
        <v>518</v>
      </c>
      <c r="B347" s="0" t="n">
        <v>10</v>
      </c>
      <c r="C347" s="0" t="s">
        <v>537</v>
      </c>
    </row>
    <row r="348" customFormat="false" ht="14.25" hidden="false" customHeight="false" outlineLevel="0" collapsed="false">
      <c r="A348" s="0" t="s">
        <v>518</v>
      </c>
      <c r="B348" s="0" t="n">
        <v>11</v>
      </c>
      <c r="C348" s="0" t="s">
        <v>526</v>
      </c>
    </row>
    <row r="349" customFormat="false" ht="14.25" hidden="false" customHeight="false" outlineLevel="0" collapsed="false">
      <c r="A349" s="0" t="s">
        <v>518</v>
      </c>
      <c r="B349" s="0" t="n">
        <v>12</v>
      </c>
      <c r="C349" s="0" t="s">
        <v>533</v>
      </c>
    </row>
    <row r="350" customFormat="false" ht="14.25" hidden="false" customHeight="false" outlineLevel="0" collapsed="false">
      <c r="A350" s="0" t="s">
        <v>518</v>
      </c>
      <c r="B350" s="0" t="n">
        <v>13</v>
      </c>
      <c r="C350" s="0" t="s">
        <v>529</v>
      </c>
    </row>
    <row r="351" customFormat="false" ht="14.25" hidden="false" customHeight="false" outlineLevel="0" collapsed="false">
      <c r="A351" s="0" t="s">
        <v>518</v>
      </c>
      <c r="B351" s="0" t="n">
        <v>14</v>
      </c>
      <c r="C351" s="0" t="s">
        <v>534</v>
      </c>
    </row>
    <row r="352" customFormat="false" ht="14.25" hidden="false" customHeight="false" outlineLevel="0" collapsed="false">
      <c r="A352" s="0" t="s">
        <v>518</v>
      </c>
      <c r="B352" s="0" t="n">
        <v>15</v>
      </c>
      <c r="C352" s="0" t="s">
        <v>521</v>
      </c>
    </row>
    <row r="353" customFormat="false" ht="14.25" hidden="false" customHeight="false" outlineLevel="0" collapsed="false">
      <c r="A353" s="0" t="s">
        <v>518</v>
      </c>
      <c r="B353" s="0" t="n">
        <v>16</v>
      </c>
      <c r="C353" s="0" t="s">
        <v>532</v>
      </c>
    </row>
    <row r="354" customFormat="false" ht="14.25" hidden="false" customHeight="false" outlineLevel="0" collapsed="false">
      <c r="A354" s="0" t="s">
        <v>541</v>
      </c>
      <c r="B354" s="0" t="n">
        <v>1</v>
      </c>
      <c r="C354" s="0" t="s">
        <v>560</v>
      </c>
    </row>
    <row r="355" customFormat="false" ht="14.25" hidden="false" customHeight="false" outlineLevel="0" collapsed="false">
      <c r="A355" s="0" t="s">
        <v>541</v>
      </c>
      <c r="B355" s="0" t="n">
        <v>2</v>
      </c>
      <c r="C355" s="0" t="s">
        <v>555</v>
      </c>
    </row>
    <row r="356" customFormat="false" ht="14.25" hidden="false" customHeight="false" outlineLevel="0" collapsed="false">
      <c r="A356" s="0" t="s">
        <v>541</v>
      </c>
      <c r="B356" s="0" t="n">
        <v>3</v>
      </c>
      <c r="C356" s="0" t="s">
        <v>547</v>
      </c>
    </row>
    <row r="357" customFormat="false" ht="14.25" hidden="false" customHeight="false" outlineLevel="0" collapsed="false">
      <c r="A357" s="0" t="s">
        <v>541</v>
      </c>
      <c r="B357" s="0" t="n">
        <v>4</v>
      </c>
      <c r="C357" s="0" t="s">
        <v>563</v>
      </c>
    </row>
    <row r="358" customFormat="false" ht="14.25" hidden="false" customHeight="false" outlineLevel="0" collapsed="false">
      <c r="A358" s="0" t="s">
        <v>541</v>
      </c>
      <c r="B358" s="0" t="n">
        <v>5</v>
      </c>
      <c r="C358" s="0" t="s">
        <v>545</v>
      </c>
    </row>
    <row r="359" customFormat="false" ht="14.25" hidden="false" customHeight="false" outlineLevel="0" collapsed="false">
      <c r="A359" s="0" t="s">
        <v>541</v>
      </c>
      <c r="B359" s="0" t="n">
        <v>6</v>
      </c>
      <c r="C359" s="0" t="s">
        <v>551</v>
      </c>
    </row>
    <row r="360" customFormat="false" ht="14.25" hidden="false" customHeight="false" outlineLevel="0" collapsed="false">
      <c r="A360" s="0" t="s">
        <v>541</v>
      </c>
      <c r="B360" s="0" t="n">
        <v>7</v>
      </c>
      <c r="C360" s="0" t="s">
        <v>556</v>
      </c>
    </row>
    <row r="361" customFormat="false" ht="14.25" hidden="false" customHeight="false" outlineLevel="0" collapsed="false">
      <c r="A361" s="0" t="s">
        <v>541</v>
      </c>
      <c r="B361" s="0" t="n">
        <v>8</v>
      </c>
      <c r="C361" s="0" t="s">
        <v>552</v>
      </c>
    </row>
    <row r="362" customFormat="false" ht="14.25" hidden="false" customHeight="false" outlineLevel="0" collapsed="false">
      <c r="A362" s="0" t="s">
        <v>541</v>
      </c>
      <c r="B362" s="0" t="n">
        <v>9</v>
      </c>
      <c r="C362" s="0" t="s">
        <v>562</v>
      </c>
    </row>
    <row r="363" customFormat="false" ht="14.25" hidden="false" customHeight="false" outlineLevel="0" collapsed="false">
      <c r="A363" s="0" t="s">
        <v>541</v>
      </c>
      <c r="B363" s="0" t="n">
        <v>10</v>
      </c>
      <c r="C363" s="0" t="s">
        <v>550</v>
      </c>
    </row>
    <row r="364" customFormat="false" ht="14.25" hidden="false" customHeight="false" outlineLevel="0" collapsed="false">
      <c r="A364" s="0" t="s">
        <v>541</v>
      </c>
      <c r="B364" s="0" t="n">
        <v>11</v>
      </c>
      <c r="C364" s="0" t="s">
        <v>561</v>
      </c>
    </row>
    <row r="365" customFormat="false" ht="14.25" hidden="false" customHeight="false" outlineLevel="0" collapsed="false">
      <c r="A365" s="0" t="s">
        <v>541</v>
      </c>
      <c r="B365" s="0" t="n">
        <v>12</v>
      </c>
      <c r="C365" s="0" t="s">
        <v>544</v>
      </c>
    </row>
    <row r="366" customFormat="false" ht="14.25" hidden="false" customHeight="false" outlineLevel="0" collapsed="false">
      <c r="A366" s="0" t="s">
        <v>541</v>
      </c>
      <c r="B366" s="0" t="n">
        <v>13</v>
      </c>
      <c r="C366" s="0" t="s">
        <v>554</v>
      </c>
    </row>
    <row r="367" customFormat="false" ht="14.25" hidden="false" customHeight="false" outlineLevel="0" collapsed="false">
      <c r="A367" s="0" t="s">
        <v>541</v>
      </c>
      <c r="B367" s="0" t="n">
        <v>14</v>
      </c>
      <c r="C367" s="0" t="s">
        <v>557</v>
      </c>
    </row>
    <row r="368" customFormat="false" ht="14.25" hidden="false" customHeight="false" outlineLevel="0" collapsed="false">
      <c r="A368" s="0" t="s">
        <v>541</v>
      </c>
      <c r="B368" s="0" t="n">
        <v>15</v>
      </c>
      <c r="C368" s="0" t="s">
        <v>546</v>
      </c>
    </row>
    <row r="369" customFormat="false" ht="14.25" hidden="false" customHeight="false" outlineLevel="0" collapsed="false">
      <c r="A369" s="0" t="s">
        <v>541</v>
      </c>
      <c r="B369" s="0" t="n">
        <v>16</v>
      </c>
      <c r="C369" s="0" t="s">
        <v>549</v>
      </c>
    </row>
    <row r="370" customFormat="false" ht="14.25" hidden="false" customHeight="false" outlineLevel="0" collapsed="false">
      <c r="A370" s="0" t="s">
        <v>564</v>
      </c>
      <c r="B370" s="0" t="n">
        <v>1</v>
      </c>
      <c r="C370" s="0" t="s">
        <v>583</v>
      </c>
    </row>
    <row r="371" customFormat="false" ht="14.25" hidden="false" customHeight="false" outlineLevel="0" collapsed="false">
      <c r="A371" s="0" t="s">
        <v>564</v>
      </c>
      <c r="B371" s="0" t="n">
        <v>2</v>
      </c>
      <c r="C371" s="0" t="s">
        <v>584</v>
      </c>
    </row>
    <row r="372" customFormat="false" ht="14.25" hidden="false" customHeight="false" outlineLevel="0" collapsed="false">
      <c r="A372" s="0" t="s">
        <v>564</v>
      </c>
      <c r="B372" s="0" t="n">
        <v>3</v>
      </c>
      <c r="C372" s="0" t="s">
        <v>567</v>
      </c>
    </row>
    <row r="373" customFormat="false" ht="14.25" hidden="false" customHeight="false" outlineLevel="0" collapsed="false">
      <c r="A373" s="0" t="s">
        <v>564</v>
      </c>
      <c r="B373" s="0" t="n">
        <v>4</v>
      </c>
      <c r="C373" s="0" t="s">
        <v>572</v>
      </c>
    </row>
    <row r="374" customFormat="false" ht="14.25" hidden="false" customHeight="false" outlineLevel="0" collapsed="false">
      <c r="A374" s="0" t="s">
        <v>564</v>
      </c>
      <c r="B374" s="0" t="n">
        <v>5</v>
      </c>
      <c r="C374" s="0" t="s">
        <v>570</v>
      </c>
    </row>
    <row r="375" customFormat="false" ht="14.25" hidden="false" customHeight="false" outlineLevel="0" collapsed="false">
      <c r="A375" s="0" t="s">
        <v>564</v>
      </c>
      <c r="B375" s="0" t="n">
        <v>6</v>
      </c>
      <c r="C375" s="0" t="s">
        <v>578</v>
      </c>
    </row>
    <row r="376" customFormat="false" ht="14.25" hidden="false" customHeight="false" outlineLevel="0" collapsed="false">
      <c r="A376" s="0" t="s">
        <v>564</v>
      </c>
      <c r="B376" s="0" t="n">
        <v>7</v>
      </c>
      <c r="C376" s="0" t="s">
        <v>574</v>
      </c>
    </row>
    <row r="377" customFormat="false" ht="14.25" hidden="false" customHeight="false" outlineLevel="0" collapsed="false">
      <c r="A377" s="0" t="s">
        <v>564</v>
      </c>
      <c r="B377" s="0" t="n">
        <v>8</v>
      </c>
      <c r="C377" s="0" t="s">
        <v>582</v>
      </c>
    </row>
    <row r="378" customFormat="false" ht="14.25" hidden="false" customHeight="false" outlineLevel="0" collapsed="false">
      <c r="A378" s="0" t="s">
        <v>564</v>
      </c>
      <c r="B378" s="0" t="n">
        <v>9</v>
      </c>
      <c r="C378" s="0" t="s">
        <v>575</v>
      </c>
    </row>
    <row r="379" customFormat="false" ht="14.25" hidden="false" customHeight="false" outlineLevel="0" collapsed="false">
      <c r="A379" s="0" t="s">
        <v>564</v>
      </c>
      <c r="B379" s="0" t="n">
        <v>10</v>
      </c>
      <c r="C379" s="0" t="s">
        <v>579</v>
      </c>
    </row>
    <row r="380" customFormat="false" ht="14.25" hidden="false" customHeight="false" outlineLevel="0" collapsed="false">
      <c r="A380" s="0" t="s">
        <v>564</v>
      </c>
      <c r="B380" s="0" t="n">
        <v>11</v>
      </c>
      <c r="C380" s="0" t="s">
        <v>580</v>
      </c>
    </row>
    <row r="381" customFormat="false" ht="14.25" hidden="false" customHeight="false" outlineLevel="0" collapsed="false">
      <c r="A381" s="0" t="s">
        <v>564</v>
      </c>
      <c r="B381" s="0" t="n">
        <v>12</v>
      </c>
      <c r="C381" s="0" t="s">
        <v>568</v>
      </c>
    </row>
    <row r="382" customFormat="false" ht="14.25" hidden="false" customHeight="false" outlineLevel="0" collapsed="false">
      <c r="A382" s="0" t="s">
        <v>564</v>
      </c>
      <c r="B382" s="0" t="n">
        <v>13</v>
      </c>
      <c r="C382" s="0" t="s">
        <v>577</v>
      </c>
    </row>
    <row r="383" customFormat="false" ht="14.25" hidden="false" customHeight="false" outlineLevel="0" collapsed="false">
      <c r="A383" s="0" t="s">
        <v>564</v>
      </c>
      <c r="B383" s="0" t="n">
        <v>14</v>
      </c>
      <c r="C383" s="0" t="s">
        <v>569</v>
      </c>
    </row>
    <row r="384" customFormat="false" ht="14.25" hidden="false" customHeight="false" outlineLevel="0" collapsed="false">
      <c r="A384" s="0" t="s">
        <v>564</v>
      </c>
      <c r="B384" s="0" t="n">
        <v>15</v>
      </c>
      <c r="C384" s="0" t="s">
        <v>585</v>
      </c>
    </row>
    <row r="385" customFormat="false" ht="14.25" hidden="false" customHeight="false" outlineLevel="0" collapsed="false">
      <c r="A385" s="0" t="s">
        <v>564</v>
      </c>
      <c r="B385" s="0" t="n">
        <v>16</v>
      </c>
      <c r="C385" s="0" t="s">
        <v>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0"/>
    <col collapsed="false" customWidth="true" hidden="false" outlineLevel="0" max="6" min="3" style="0" width="15"/>
    <col collapsed="false" customWidth="true" hidden="false" outlineLevel="0" max="7" min="7" style="0" width="40"/>
  </cols>
  <sheetData>
    <row r="1" customFormat="false" ht="17.25" hidden="false" customHeight="true" outlineLevel="0" collapsed="false">
      <c r="A1" s="1" t="s">
        <v>590</v>
      </c>
    </row>
    <row r="2" customFormat="false" ht="14.25" hidden="false" customHeight="false" outlineLevel="0" collapsed="false">
      <c r="A2" s="4" t="s">
        <v>591</v>
      </c>
      <c r="B2" s="9" t="s">
        <v>271</v>
      </c>
      <c r="C2" s="0" t="str">
        <f aca="false">VLOOKUP(B2,Feladványok!A:B,2,FALSE())</f>
        <v>2026-10-05</v>
      </c>
    </row>
    <row r="4" customFormat="false" ht="14.25" hidden="false" customHeight="false" outlineLevel="0" collapsed="false">
      <c r="A4" s="2" t="s">
        <v>592</v>
      </c>
    </row>
    <row r="6" customFormat="false" ht="27.75" hidden="false" customHeight="true" outlineLevel="0" collapsed="false">
      <c r="A6" s="10" t="str">
        <f aca="false">INDEX(Segéd!$C$2:$C$385,MATCH($B$2,Segéd!$A$2:$A$385,0)+1-1)</f>
        <v>Nemecsek</v>
      </c>
      <c r="B6" s="10" t="str">
        <f aca="false">INDEX(Segéd!$C$2:$C$385,MATCH($B$2,Segéd!$A$2:$A$385,0)+2-1)</f>
        <v>Icce</v>
      </c>
      <c r="C6" s="11" t="str">
        <f aca="false">INDEX(Segéd!$C$2:$C$385,MATCH($B$2,Segéd!$A$2:$A$385,0)+3-1)</f>
        <v>Akó</v>
      </c>
      <c r="D6" s="10" t="str">
        <f aca="false">INDEX(Segéd!$C$2:$C$385,MATCH($B$2,Segéd!$A$2:$A$385,0)+4-1)</f>
        <v>Hold</v>
      </c>
    </row>
    <row r="7" customFormat="false" ht="27.75" hidden="false" customHeight="true" outlineLevel="0" collapsed="false">
      <c r="A7" s="10" t="str">
        <f aca="false">INDEX(Segéd!$C$2:$C$385,MATCH($B$2,Segéd!$A$2:$A$385,0)+5-1)</f>
        <v>Kürtő</v>
      </c>
      <c r="B7" s="10" t="str">
        <f aca="false">INDEX(Segéd!$C$2:$C$385,MATCH($B$2,Segéd!$A$2:$A$385,0)+6-1)</f>
        <v>Öl</v>
      </c>
      <c r="C7" s="10" t="str">
        <f aca="false">INDEX(Segéd!$C$2:$C$385,MATCH($B$2,Segéd!$A$2:$A$385,0)+7-1)</f>
        <v>Eger</v>
      </c>
      <c r="D7" s="11" t="str">
        <f aca="false">INDEX(Segéd!$C$2:$C$385,MATCH($B$2,Segéd!$A$2:$A$385,0)+8-1)</f>
        <v>Áts</v>
      </c>
    </row>
    <row r="8" customFormat="false" ht="27.75" hidden="false" customHeight="true" outlineLevel="0" collapsed="false">
      <c r="A8" s="11" t="str">
        <f aca="false">INDEX(Segéd!$C$2:$C$385,MATCH($B$2,Segéd!$A$2:$A$385,0)+9-1)</f>
        <v>Lantos</v>
      </c>
      <c r="B8" s="10" t="str">
        <f aca="false">INDEX(Segéd!$C$2:$C$385,MATCH($B$2,Segéd!$A$2:$A$385,0)+10-1)</f>
        <v>Sípálya</v>
      </c>
      <c r="C8" s="10" t="str">
        <f aca="false">INDEX(Segéd!$C$2:$C$385,MATCH($B$2,Segéd!$A$2:$A$385,0)+11-1)</f>
        <v>Boka</v>
      </c>
      <c r="D8" s="11" t="str">
        <f aca="false">INDEX(Segéd!$C$2:$C$385,MATCH($B$2,Segéd!$A$2:$A$385,0)+12-1)</f>
        <v>Geréb</v>
      </c>
    </row>
    <row r="9" customFormat="false" ht="27.75" hidden="false" customHeight="true" outlineLevel="0" collapsed="false">
      <c r="A9" s="10" t="str">
        <f aca="false">INDEX(Segéd!$C$2:$C$385,MATCH($B$2,Segéd!$A$2:$A$385,0)+13-1)</f>
        <v>Szekszárd</v>
      </c>
      <c r="B9" s="10" t="str">
        <f aca="false">INDEX(Segéd!$C$2:$C$385,MATCH($B$2,Segéd!$A$2:$A$385,0)+14-1)</f>
        <v>Dobás</v>
      </c>
      <c r="C9" s="10" t="str">
        <f aca="false">INDEX(Segéd!$C$2:$C$385,MATCH($B$2,Segéd!$A$2:$A$385,0)+15-1)</f>
        <v>Villány</v>
      </c>
      <c r="D9" s="10" t="str">
        <f aca="false">INDEX(Segéd!$C$2:$C$385,MATCH($B$2,Segéd!$A$2:$A$385,0)+16-1)</f>
        <v>Tokaj</v>
      </c>
    </row>
    <row r="20" customFormat="false" ht="17.25" hidden="false" customHeight="true" outlineLevel="0" collapsed="false">
      <c r="A20" s="1" t="s">
        <v>593</v>
      </c>
    </row>
    <row r="22" customFormat="false" ht="14.25" hidden="false" customHeight="false" outlineLevel="0" collapsed="false">
      <c r="A22" s="5" t="s">
        <v>594</v>
      </c>
      <c r="B22" s="5" t="s">
        <v>595</v>
      </c>
      <c r="C22" s="5" t="s">
        <v>596</v>
      </c>
      <c r="D22" s="5"/>
      <c r="E22" s="5"/>
      <c r="F22" s="5"/>
      <c r="G22" s="5" t="s">
        <v>597</v>
      </c>
    </row>
    <row r="23" customFormat="false" ht="14.25" hidden="false" customHeight="false" outlineLevel="0" collapsed="false">
      <c r="A23" s="6" t="n">
        <v>1</v>
      </c>
      <c r="B23" s="6" t="str">
        <f aca="false">INDEX(Feladványok!$D$2:$D$97,MATCH($B$2,Feladványok!$A$2:$A$97,0)+1-1)</f>
        <v>Magyar borvidékek</v>
      </c>
      <c r="C23" s="6" t="str">
        <f aca="false">INDEX(Feladványok!$F$2:$F$97,MATCH($B$2,Feladványok!$A$2:$A$97,0)+1-1)</f>
        <v>Tokaj</v>
      </c>
      <c r="D23" s="6" t="str">
        <f aca="false">INDEX(Feladványok!$G$2:$G$97,MATCH($B$2,Feladványok!$A$2:$A$97,0)+1-1)</f>
        <v>Villány</v>
      </c>
      <c r="E23" s="6" t="str">
        <f aca="false">INDEX(Feladványok!$H$2:$H$97,MATCH($B$2,Feladványok!$A$2:$A$97,0)+1-1)</f>
        <v>Eger</v>
      </c>
      <c r="F23" s="6" t="str">
        <f aca="false">INDEX(Feladványok!$I$2:$I$97,MATCH($B$2,Feladványok!$A$2:$A$97,0)+1-1)</f>
        <v>Szekszárd</v>
      </c>
      <c r="G23" s="6" t="str">
        <f aca="false">IF(INDEX(Feladványok!$E$2:$E$97,MATCH($B$2,Feladványok!$A$2:$A$97,0)+1-1)="","",INDEX(Feladványok!$E$2:$E$97,MATCH($B$2,Feladványok!$A$2:$A$97,0)+1-1))</f>
        <v/>
      </c>
    </row>
    <row r="24" customFormat="false" ht="14.25" hidden="false" customHeight="false" outlineLevel="0" collapsed="false">
      <c r="A24" s="6" t="n">
        <v>2</v>
      </c>
      <c r="B24" s="6" t="str">
        <f aca="false">INDEX(Feladványok!$D$2:$D$97,MATCH($B$2,Feladványok!$A$2:$A$97,0)+2-1)</f>
        <v>A Pál utcai fiúk szereplői</v>
      </c>
      <c r="C24" s="6" t="str">
        <f aca="false">INDEX(Feladványok!$F$2:$F$97,MATCH($B$2,Feladványok!$A$2:$A$97,0)+2-1)</f>
        <v>Nemecsek</v>
      </c>
      <c r="D24" s="6" t="str">
        <f aca="false">INDEX(Feladványok!$G$2:$G$97,MATCH($B$2,Feladványok!$A$2:$A$97,0)+2-1)</f>
        <v>Boka</v>
      </c>
      <c r="E24" s="6" t="str">
        <f aca="false">INDEX(Feladványok!$H$2:$H$97,MATCH($B$2,Feladványok!$A$2:$A$97,0)+2-1)</f>
        <v>Áts</v>
      </c>
      <c r="F24" s="6" t="str">
        <f aca="false">INDEX(Feladványok!$I$2:$I$97,MATCH($B$2,Feladványok!$A$2:$A$97,0)+2-1)</f>
        <v>Geréb</v>
      </c>
      <c r="G24" s="6" t="str">
        <f aca="false">IF(INDEX(Feladványok!$E$2:$E$97,MATCH($B$2,Feladványok!$A$2:$A$97,0)+2-1)="","",INDEX(Feladványok!$E$2:$E$97,MATCH($B$2,Feladványok!$A$2:$A$97,0)+2-1))</f>
        <v/>
      </c>
    </row>
    <row r="25" customFormat="false" ht="14.25" hidden="false" customHeight="false" outlineLevel="0" collapsed="false">
      <c r="A25" s="6" t="n">
        <v>3</v>
      </c>
      <c r="B25" s="6" t="str">
        <f aca="false">INDEX(Feladványok!$D$2:$D$97,MATCH($B$2,Feladványok!$A$2:$A$97,0)+3-1)</f>
        <v>Régi magyar mértékegységek</v>
      </c>
      <c r="C25" s="6" t="str">
        <f aca="false">INDEX(Feladványok!$F$2:$F$97,MATCH($B$2,Feladványok!$A$2:$A$97,0)+3-1)</f>
        <v>Hold</v>
      </c>
      <c r="D25" s="6" t="str">
        <f aca="false">INDEX(Feladványok!$G$2:$G$97,MATCH($B$2,Feladványok!$A$2:$A$97,0)+3-1)</f>
        <v>Öl</v>
      </c>
      <c r="E25" s="6" t="str">
        <f aca="false">INDEX(Feladványok!$H$2:$H$97,MATCH($B$2,Feladványok!$A$2:$A$97,0)+3-1)</f>
        <v>Icce</v>
      </c>
      <c r="F25" s="6" t="str">
        <f aca="false">INDEX(Feladványok!$I$2:$I$97,MATCH($B$2,Feladványok!$A$2:$A$97,0)+3-1)</f>
        <v>Akó</v>
      </c>
      <c r="G25" s="6" t="str">
        <f aca="false">IF(INDEX(Feladványok!$E$2:$E$97,MATCH($B$2,Feladványok!$A$2:$A$97,0)+3-1)="","",INDEX(Feladványok!$E$2:$E$97,MATCH($B$2,Feladványok!$A$2:$A$97,0)+3-1))</f>
        <v>1 hold ≈ 5755 m², 1 icce ≈ 0,8 liter</v>
      </c>
    </row>
    <row r="26" customFormat="false" ht="14.25" hidden="false" customHeight="false" outlineLevel="0" collapsed="false">
      <c r="A26" s="6" t="n">
        <v>4</v>
      </c>
      <c r="B26" s="6" t="str">
        <f aca="false">INDEX(Feladványok!$D$2:$D$97,MATCH($B$2,Feladványok!$A$2:$A$97,0)+4-1)</f>
        <v>Hangszer rejtőzik a szó elején</v>
      </c>
      <c r="C26" s="6" t="str">
        <f aca="false">INDEX(Feladványok!$F$2:$F$97,MATCH($B$2,Feladványok!$A$2:$A$97,0)+4-1)</f>
        <v>Dobás</v>
      </c>
      <c r="D26" s="6" t="str">
        <f aca="false">INDEX(Feladványok!$G$2:$G$97,MATCH($B$2,Feladványok!$A$2:$A$97,0)+4-1)</f>
        <v>Sípálya</v>
      </c>
      <c r="E26" s="6" t="str">
        <f aca="false">INDEX(Feladványok!$H$2:$H$97,MATCH($B$2,Feladványok!$A$2:$A$97,0)+4-1)</f>
        <v>Lantos</v>
      </c>
      <c r="F26" s="6" t="str">
        <f aca="false">INDEX(Feladványok!$I$2:$I$97,MATCH($B$2,Feladványok!$A$2:$A$97,0)+4-1)</f>
        <v>Kürtő</v>
      </c>
      <c r="G26" s="6" t="str">
        <f aca="false">IF(INDEX(Feladványok!$E$2:$E$97,MATCH($B$2,Feladványok!$A$2:$A$97,0)+4-1)="","",INDEX(Feladványok!$E$2:$E$97,MATCH($B$2,Feladványok!$A$2:$A$97,0)+4-1))</f>
        <v>dob, síp, lant, kürt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2026-09-24T11:41:30Z</dcterms:created>
  <dc:creator>openpyxl</dc:creator>
  <dc:description/>
  <dc:language>en-US</dc:language>
  <cp:lastModifiedBy>Áron Arany-Tóth</cp:lastModifiedBy>
  <dcterms:modified xsi:type="dcterms:W3CDTF">2026-10-04T20:26:35Z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